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b\Music\parcial 2 redes\"/>
    </mc:Choice>
  </mc:AlternateContent>
  <xr:revisionPtr revIDLastSave="0" documentId="13_ncr:1_{FDD60087-CB19-4248-A59A-A4E0D0FD2A47}" xr6:coauthVersionLast="47" xr6:coauthVersionMax="47" xr10:uidLastSave="{00000000-0000-0000-0000-000000000000}"/>
  <bookViews>
    <workbookView xWindow="-108" yWindow="-108" windowWidth="23256" windowHeight="12456" activeTab="5" xr2:uid="{43B8EF33-3F4E-4DA2-8A6D-EBB46981608B}"/>
  </bookViews>
  <sheets>
    <sheet name="Requerimientos" sheetId="1" r:id="rId1"/>
    <sheet name="Redes" sheetId="2" r:id="rId2"/>
    <sheet name="Edificio Central" sheetId="4" r:id="rId3"/>
    <sheet name="dhcp" sheetId="10" r:id="rId4"/>
    <sheet name="ET" sheetId="9" r:id="rId5"/>
    <sheet name="Admin_empresas" sheetId="5" r:id="rId6"/>
    <sheet name="ing_industrial" sheetId="6" r:id="rId7"/>
    <sheet name="Ing_Biomedica" sheetId="7" r:id="rId8"/>
    <sheet name="Biblioteca" sheetId="8" r:id="rId9"/>
  </sheets>
  <definedNames>
    <definedName name="_xlnm._FilterDatabase" localSheetId="2" hidden="1">'Edificio Central'!$C$34:$E$55</definedName>
    <definedName name="_xlnm._FilterDatabase" localSheetId="1" hidden="1">Redes!$A$1:$I$24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3" i="5" l="1"/>
  <c r="L24" i="5"/>
  <c r="L25" i="5"/>
  <c r="L26" i="5"/>
  <c r="L27" i="5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" i="2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27" i="4"/>
  <c r="L28" i="4"/>
  <c r="L29" i="4"/>
  <c r="L30" i="4"/>
  <c r="L31" i="4"/>
  <c r="L32" i="4"/>
  <c r="L33" i="4"/>
  <c r="L26" i="4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" i="2"/>
</calcChain>
</file>

<file path=xl/sharedStrings.xml><?xml version="1.0" encoding="utf-8"?>
<sst xmlns="http://schemas.openxmlformats.org/spreadsheetml/2006/main" count="1295" uniqueCount="383">
  <si>
    <t>VLAN ID</t>
  </si>
  <si>
    <t>VLAN NAME</t>
  </si>
  <si>
    <t>Hosts</t>
  </si>
  <si>
    <t>Administrativo</t>
  </si>
  <si>
    <t>Directivos</t>
  </si>
  <si>
    <t>Soporte_TI</t>
  </si>
  <si>
    <t>Estudiantes</t>
  </si>
  <si>
    <t>Servidores</t>
  </si>
  <si>
    <t>Profesores</t>
  </si>
  <si>
    <t>Admin_TI</t>
  </si>
  <si>
    <t>1.2 Admin_Empresas</t>
  </si>
  <si>
    <t>Laboratotios_AE</t>
  </si>
  <si>
    <t>Camaras_AE</t>
  </si>
  <si>
    <t>Jefatura_AE</t>
  </si>
  <si>
    <t>Administrativos_AE</t>
  </si>
  <si>
    <t>1.3 ing_industrial</t>
  </si>
  <si>
    <t>Laboratorios_ll</t>
  </si>
  <si>
    <t>camaras_ll</t>
  </si>
  <si>
    <t>jefatura_ll</t>
  </si>
  <si>
    <t>Administrativos_ll</t>
  </si>
  <si>
    <t>1.4 Ing_Biomedica</t>
  </si>
  <si>
    <t>camaras_IB</t>
  </si>
  <si>
    <t>jefatura_IB</t>
  </si>
  <si>
    <t xml:space="preserve">1.5 Biblioteca </t>
  </si>
  <si>
    <t>Salas_lectura_BB</t>
  </si>
  <si>
    <t>Camaras_BB</t>
  </si>
  <si>
    <t>Jefatura_BB</t>
  </si>
  <si>
    <t>Control_BB</t>
  </si>
  <si>
    <t>IP SUBRED</t>
  </si>
  <si>
    <t>MASCARA</t>
  </si>
  <si>
    <t>IP BROADCAST</t>
  </si>
  <si>
    <t>DIR USABLE INICIAL</t>
  </si>
  <si>
    <t>DIR USABLE FINAL</t>
  </si>
  <si>
    <t>172.30.0.0</t>
  </si>
  <si>
    <t>PREFIJO</t>
  </si>
  <si>
    <t>/19</t>
  </si>
  <si>
    <t>255.255.224.0</t>
  </si>
  <si>
    <t>172.30.31.255</t>
  </si>
  <si>
    <t>172.30.0.1</t>
  </si>
  <si>
    <t>172.30.31.254</t>
  </si>
  <si>
    <t>172.30.32.0</t>
  </si>
  <si>
    <t>/22</t>
  </si>
  <si>
    <t>255.255.252.0</t>
  </si>
  <si>
    <t>172.30.35.255</t>
  </si>
  <si>
    <t>172.30.32.1</t>
  </si>
  <si>
    <t>172.30.35.254</t>
  </si>
  <si>
    <t>/25</t>
  </si>
  <si>
    <t>172.30.36.0</t>
  </si>
  <si>
    <t>255.255.255.128</t>
  </si>
  <si>
    <t>172.30.36.127</t>
  </si>
  <si>
    <t>172.30.36.1</t>
  </si>
  <si>
    <t>172.30.36.126</t>
  </si>
  <si>
    <t>172.30.36.128</t>
  </si>
  <si>
    <t>172.30.36.255</t>
  </si>
  <si>
    <t>172.30.36.129</t>
  </si>
  <si>
    <t>172.30.36.254</t>
  </si>
  <si>
    <t>172.30.37.0</t>
  </si>
  <si>
    <t>/26</t>
  </si>
  <si>
    <t>/27</t>
  </si>
  <si>
    <t>172.30.37.127</t>
  </si>
  <si>
    <t>172.30.37.1</t>
  </si>
  <si>
    <t>172.30.37.126</t>
  </si>
  <si>
    <t>172.30.37.128</t>
  </si>
  <si>
    <t>172.30.37.255</t>
  </si>
  <si>
    <t>172.30.37.129</t>
  </si>
  <si>
    <t>172.30.37.254</t>
  </si>
  <si>
    <t>172.30.38.0</t>
  </si>
  <si>
    <t>172.30.38.127</t>
  </si>
  <si>
    <t>172.30.38.1</t>
  </si>
  <si>
    <t>172.30.38.126</t>
  </si>
  <si>
    <t>172.30.38.128</t>
  </si>
  <si>
    <t>255.255.255.192</t>
  </si>
  <si>
    <t>172.30.38.191</t>
  </si>
  <si>
    <t>172.30.38.129</t>
  </si>
  <si>
    <t>172.30.38.190</t>
  </si>
  <si>
    <t>172.30.38.192</t>
  </si>
  <si>
    <t>172.30.38.255</t>
  </si>
  <si>
    <t>172.30.38.193</t>
  </si>
  <si>
    <t>172.30.38.254</t>
  </si>
  <si>
    <t>172.30.39.0</t>
  </si>
  <si>
    <t>255.255.255.224</t>
  </si>
  <si>
    <t>172.30.39.31</t>
  </si>
  <si>
    <t>172.30.39.1</t>
  </si>
  <si>
    <t>172.30.39.30</t>
  </si>
  <si>
    <t>172.30.39.32</t>
  </si>
  <si>
    <t>172.30.39.63</t>
  </si>
  <si>
    <t>172.30.39.33</t>
  </si>
  <si>
    <t>172.30.39.62</t>
  </si>
  <si>
    <t>172.30.39.64</t>
  </si>
  <si>
    <t>172.30.39.95</t>
  </si>
  <si>
    <t>172.30.39.65</t>
  </si>
  <si>
    <t>172.30.39.94</t>
  </si>
  <si>
    <t>172.30.39.96</t>
  </si>
  <si>
    <t>172.30.39.127</t>
  </si>
  <si>
    <t>172.30.39.126</t>
  </si>
  <si>
    <t>172.30.39.97</t>
  </si>
  <si>
    <t>172.30.39.128</t>
  </si>
  <si>
    <t>172.30.39.159</t>
  </si>
  <si>
    <t>172.30.39.129</t>
  </si>
  <si>
    <t>172.30.39.158</t>
  </si>
  <si>
    <t>172.30.39.160</t>
  </si>
  <si>
    <t>172.30.39.191</t>
  </si>
  <si>
    <t>172.30.39.161</t>
  </si>
  <si>
    <t>172.30.39.190</t>
  </si>
  <si>
    <t>172.30.39.192</t>
  </si>
  <si>
    <t>172.30.39.223</t>
  </si>
  <si>
    <t>172.30.39.193</t>
  </si>
  <si>
    <t>172.30.39.222</t>
  </si>
  <si>
    <t>172.30.39.224</t>
  </si>
  <si>
    <t>172.30.39.255</t>
  </si>
  <si>
    <t>172.30.39.225</t>
  </si>
  <si>
    <t>172.30.39.254</t>
  </si>
  <si>
    <t>172.30.40.0</t>
  </si>
  <si>
    <t>172.30.40.31</t>
  </si>
  <si>
    <t>172.30.40.30</t>
  </si>
  <si>
    <t>172.30.40.1</t>
  </si>
  <si>
    <t>172.30.40.32</t>
  </si>
  <si>
    <t>/28</t>
  </si>
  <si>
    <t>255.255.255.240</t>
  </si>
  <si>
    <t>172.30.40.47</t>
  </si>
  <si>
    <t>172.30.40.46</t>
  </si>
  <si>
    <t>172.30.40.33</t>
  </si>
  <si>
    <t>172.30.40.48</t>
  </si>
  <si>
    <t>172.30.40.63</t>
  </si>
  <si>
    <t>172.30.40.49</t>
  </si>
  <si>
    <t>172.30.40.62</t>
  </si>
  <si>
    <t>172.30.40.64</t>
  </si>
  <si>
    <t>172.30.40.80</t>
  </si>
  <si>
    <t>172.30.40.79</t>
  </si>
  <si>
    <t>172.30.40.65</t>
  </si>
  <si>
    <t>172.30.40.78</t>
  </si>
  <si>
    <t>172.30.40.95</t>
  </si>
  <si>
    <t>172.30.40.81</t>
  </si>
  <si>
    <t>172.30.40.94</t>
  </si>
  <si>
    <t>172.30.40.96</t>
  </si>
  <si>
    <t>172.30.40.111</t>
  </si>
  <si>
    <t>172.30.40.97</t>
  </si>
  <si>
    <t>172.30.40.110</t>
  </si>
  <si>
    <t>Mascara</t>
  </si>
  <si>
    <t>1.1 Edificio_central</t>
  </si>
  <si>
    <t xml:space="preserve">Diagrama de distribucion </t>
  </si>
  <si>
    <t>Tipo Dispositivo</t>
  </si>
  <si>
    <t>Switch Acceso</t>
  </si>
  <si>
    <t>Codigo</t>
  </si>
  <si>
    <t>SWA</t>
  </si>
  <si>
    <t xml:space="preserve">Switch Distribucion </t>
  </si>
  <si>
    <t>SWD</t>
  </si>
  <si>
    <t xml:space="preserve">Switch Core </t>
  </si>
  <si>
    <t>SWC</t>
  </si>
  <si>
    <t>Servidor</t>
  </si>
  <si>
    <t>SEW</t>
  </si>
  <si>
    <t>Servidor Web</t>
  </si>
  <si>
    <t>PC</t>
  </si>
  <si>
    <t>Router</t>
  </si>
  <si>
    <t>R</t>
  </si>
  <si>
    <t>Ubicación</t>
  </si>
  <si>
    <t>Edificio Central</t>
  </si>
  <si>
    <t>EC</t>
  </si>
  <si>
    <t>Biblioteca</t>
  </si>
  <si>
    <t>BB</t>
  </si>
  <si>
    <t>Edificio Biomedica</t>
  </si>
  <si>
    <t>BM</t>
  </si>
  <si>
    <t>Administracion_Empresas</t>
  </si>
  <si>
    <t>AE</t>
  </si>
  <si>
    <t>Ing. Industrial</t>
  </si>
  <si>
    <t>II</t>
  </si>
  <si>
    <t>Piso</t>
  </si>
  <si>
    <t>Primer Piso</t>
  </si>
  <si>
    <t>F1</t>
  </si>
  <si>
    <t>Segundo Piso</t>
  </si>
  <si>
    <t>F2</t>
  </si>
  <si>
    <t>Tercer Piso</t>
  </si>
  <si>
    <t>F3</t>
  </si>
  <si>
    <t>Tabla de administracion de dispositivos</t>
  </si>
  <si>
    <t>Dispositiivo</t>
  </si>
  <si>
    <t>Nombre</t>
  </si>
  <si>
    <t>Interfaz</t>
  </si>
  <si>
    <t>Direccion Ip</t>
  </si>
  <si>
    <t>Gateway</t>
  </si>
  <si>
    <t>VLANS</t>
  </si>
  <si>
    <t>Switch</t>
  </si>
  <si>
    <t>SWA-EC-F1-01</t>
  </si>
  <si>
    <t>Vlan 99</t>
  </si>
  <si>
    <t>SWA-EC-F1-02</t>
  </si>
  <si>
    <t>172.30.36.130</t>
  </si>
  <si>
    <t>SWA-EC-F2-01</t>
  </si>
  <si>
    <t>172.30.36.131</t>
  </si>
  <si>
    <t>5,8,99</t>
  </si>
  <si>
    <t>172.30.36.132</t>
  </si>
  <si>
    <t>SWA-EC-F3-01</t>
  </si>
  <si>
    <t>172.30.36.133</t>
  </si>
  <si>
    <t>3,4,7,99</t>
  </si>
  <si>
    <t>SWA-EC-F2-02</t>
  </si>
  <si>
    <t>SWA-EC-F3-02</t>
  </si>
  <si>
    <t>172.30.36.134</t>
  </si>
  <si>
    <t>SWD-EC-F3-01</t>
  </si>
  <si>
    <t>172.30.36.135</t>
  </si>
  <si>
    <t>3,4,5,6,7,8,99</t>
  </si>
  <si>
    <t>SWC-EC-F3-01</t>
  </si>
  <si>
    <t>Todas</t>
  </si>
  <si>
    <t>VLAN 6</t>
  </si>
  <si>
    <t>VLAN 8</t>
  </si>
  <si>
    <t>SEW-EC-F3-01</t>
  </si>
  <si>
    <t>NIC</t>
  </si>
  <si>
    <t>PC-EC-F2-01</t>
  </si>
  <si>
    <t>172.30.36.253</t>
  </si>
  <si>
    <t>PCE-EC-F1-01</t>
  </si>
  <si>
    <t>PC-Estudiante</t>
  </si>
  <si>
    <t>PCP-EC-F2-01</t>
  </si>
  <si>
    <t>PC-Profesor</t>
  </si>
  <si>
    <t>PC-Directivo</t>
  </si>
  <si>
    <t>PCD-EC-F3-01</t>
  </si>
  <si>
    <t>PC-Consola</t>
  </si>
  <si>
    <t>172.30.0.2</t>
  </si>
  <si>
    <t>VLAN 3</t>
  </si>
  <si>
    <t>VLAN 11</t>
  </si>
  <si>
    <t>VLAN 21</t>
  </si>
  <si>
    <t>VLAN 41</t>
  </si>
  <si>
    <t>VLAN 31</t>
  </si>
  <si>
    <t>VLAN 7</t>
  </si>
  <si>
    <t>VLAN 4</t>
  </si>
  <si>
    <t>VLAN 44</t>
  </si>
  <si>
    <t>VLAN 5</t>
  </si>
  <si>
    <t>VLAN 12</t>
  </si>
  <si>
    <t>VLAN 13</t>
  </si>
  <si>
    <t>VLAN 14</t>
  </si>
  <si>
    <t>VLAN 22</t>
  </si>
  <si>
    <t>VLAN 23</t>
  </si>
  <si>
    <t>VLAN 24</t>
  </si>
  <si>
    <t>VLAN 32</t>
  </si>
  <si>
    <t>VLAN 33</t>
  </si>
  <si>
    <t>VLAN 34</t>
  </si>
  <si>
    <t>VLAN 42</t>
  </si>
  <si>
    <t>VLAN 43</t>
  </si>
  <si>
    <t>PCE-EC-F1-02</t>
  </si>
  <si>
    <t>SWA-BB-F1-01</t>
  </si>
  <si>
    <t>SWA-BB-F1-02</t>
  </si>
  <si>
    <t>SWA-BB-F2-01</t>
  </si>
  <si>
    <t>SWA-BB-F2-02</t>
  </si>
  <si>
    <t>172.30.36.136</t>
  </si>
  <si>
    <t>172.30.36.137</t>
  </si>
  <si>
    <t>172.30.36.138</t>
  </si>
  <si>
    <t>172.30.36.139</t>
  </si>
  <si>
    <t>172.30.36.140</t>
  </si>
  <si>
    <t>SWD-BB-F2-01</t>
  </si>
  <si>
    <t>SWA-II-F1-01</t>
  </si>
  <si>
    <t>SWA-II-F2-01</t>
  </si>
  <si>
    <t>SWA-II-F1-02</t>
  </si>
  <si>
    <t>SWA-II-F2-02</t>
  </si>
  <si>
    <t>172.30.36.141</t>
  </si>
  <si>
    <t>172.30.36.142</t>
  </si>
  <si>
    <t>172.30.36.143</t>
  </si>
  <si>
    <t>172.30.36.144</t>
  </si>
  <si>
    <t>172.30.36.145</t>
  </si>
  <si>
    <t>SWA-BM-F1-01</t>
  </si>
  <si>
    <t>SWA-BM-F1-02</t>
  </si>
  <si>
    <t>SWA-BM-F2-01</t>
  </si>
  <si>
    <t>SWA-BM-F2-02</t>
  </si>
  <si>
    <t>SWD-BM-F2-01</t>
  </si>
  <si>
    <t>SWD-II-F2-01</t>
  </si>
  <si>
    <t>172.30.36.146</t>
  </si>
  <si>
    <t>172.30.36.147</t>
  </si>
  <si>
    <t>172.30.36.148</t>
  </si>
  <si>
    <t>172.30.36.149</t>
  </si>
  <si>
    <t>172.30.36.150</t>
  </si>
  <si>
    <t>SWA-AE-F1-01</t>
  </si>
  <si>
    <t>SWA-AE-F1-02</t>
  </si>
  <si>
    <t>SWA-AE-F2-01</t>
  </si>
  <si>
    <t>SWA-AE-F2-02</t>
  </si>
  <si>
    <t>SWD-AE-F2-01</t>
  </si>
  <si>
    <t>1.5 Biblioteca</t>
  </si>
  <si>
    <t>172.30.36.151</t>
  </si>
  <si>
    <t>172.30.36.152</t>
  </si>
  <si>
    <t>172.30.36.153</t>
  </si>
  <si>
    <t>172.30.36.154</t>
  </si>
  <si>
    <t>172.30.36.155</t>
  </si>
  <si>
    <t>Camara</t>
  </si>
  <si>
    <t>CAM</t>
  </si>
  <si>
    <t>PC-Laboratorio</t>
  </si>
  <si>
    <t>PC-Jefatura</t>
  </si>
  <si>
    <t>PC-Administrativo</t>
  </si>
  <si>
    <t>CAM-Camara</t>
  </si>
  <si>
    <t>PCL-AE-F1-01</t>
  </si>
  <si>
    <t>PCA-AE-F2-01</t>
  </si>
  <si>
    <t>PCJ-AE-F2-01</t>
  </si>
  <si>
    <t>CAMC-AE-F2-01</t>
  </si>
  <si>
    <t>CAMC-AE-F1-01</t>
  </si>
  <si>
    <t>172.30.39.98</t>
  </si>
  <si>
    <t>PCL-II-F1-01</t>
  </si>
  <si>
    <t>PCJ-II-F2-01</t>
  </si>
  <si>
    <t>PCA-II-F2-01</t>
  </si>
  <si>
    <t>CAMC-II-F1-01</t>
  </si>
  <si>
    <t>CAMC-II-F2-01</t>
  </si>
  <si>
    <t>172.30.39.194</t>
  </si>
  <si>
    <t>PCL-BM-F1-01</t>
  </si>
  <si>
    <t>PCJ-BM-F2-01</t>
  </si>
  <si>
    <t>PCA-BM-F2-01</t>
  </si>
  <si>
    <t>CAMC-BM-F1-01</t>
  </si>
  <si>
    <t>CAMC-BM-F2-01</t>
  </si>
  <si>
    <t>172.30.40.34</t>
  </si>
  <si>
    <t>PC-Sala</t>
  </si>
  <si>
    <t>PC-Control</t>
  </si>
  <si>
    <t>PCJ-BB-F2-01</t>
  </si>
  <si>
    <t>CAMC-BB-F1-01</t>
  </si>
  <si>
    <t>CAMC-BB-F2-01</t>
  </si>
  <si>
    <t>172.30.40.82</t>
  </si>
  <si>
    <t>PCC-BB-F2-01</t>
  </si>
  <si>
    <t>PCS-BB-F1-01</t>
  </si>
  <si>
    <t>Puertos de acceso</t>
  </si>
  <si>
    <t>Puertos troncales</t>
  </si>
  <si>
    <t>G0/1</t>
  </si>
  <si>
    <t xml:space="preserve">3--&gt;f0/1-8
 4--&gt;f0/9-16
7--&gt;f0/17-24 </t>
  </si>
  <si>
    <t>G1/0/1-7</t>
  </si>
  <si>
    <t>G1/0/1-5</t>
  </si>
  <si>
    <t>Administrativos</t>
  </si>
  <si>
    <t>Laboratorios_AE</t>
  </si>
  <si>
    <t>Camaras_ll</t>
  </si>
  <si>
    <t>Jefatura_ll</t>
  </si>
  <si>
    <t>Camaras_IB</t>
  </si>
  <si>
    <t>Jefatura_IB</t>
  </si>
  <si>
    <t>Administrativos_IB</t>
  </si>
  <si>
    <t>Administrativos_Ib</t>
  </si>
  <si>
    <t>Laboratorios_IB</t>
  </si>
  <si>
    <t>5--&gt;f0/1-12
8--&gt;f0/13-24</t>
  </si>
  <si>
    <t>11,12,99</t>
  </si>
  <si>
    <t>12,13,14,99</t>
  </si>
  <si>
    <t>11,12,13,14,99</t>
  </si>
  <si>
    <t xml:space="preserve"> </t>
  </si>
  <si>
    <t>11--&gt;f0/1-12
12--&gt;f0/13-24</t>
  </si>
  <si>
    <t>12--&gt;f0/1-8
13--&gt;f0/9-16
14--&gt;f0/17-24</t>
  </si>
  <si>
    <t>21--&gt;f0/1-12
22--&gt;f0/13-24</t>
  </si>
  <si>
    <t>22--&gt;f0/1-8
23--&gt;f0/9-16
24--&gt;f0/17-24</t>
  </si>
  <si>
    <t>31--&gt;f0/1-12
32--&gt;f0/13-24</t>
  </si>
  <si>
    <t>32--&gt;f0/1-8
33--&gt;f0/9-16
34--&gt;f0/17-24</t>
  </si>
  <si>
    <t>41--&gt;f0/1-12
42--&gt;f0/13-24</t>
  </si>
  <si>
    <t>42--&gt;f0/1-8
43--&gt;f0/9-16
44--&gt;f0/17-24</t>
  </si>
  <si>
    <t>21,22, 99</t>
  </si>
  <si>
    <t>22,23,24, 99</t>
  </si>
  <si>
    <t>22,23,24,99</t>
  </si>
  <si>
    <t>21,22,23,24,99</t>
  </si>
  <si>
    <t>31,32,99</t>
  </si>
  <si>
    <t>32,33,34,99</t>
  </si>
  <si>
    <t>31,32,33,34,99</t>
  </si>
  <si>
    <t>41,42,99</t>
  </si>
  <si>
    <t>42,43,44,99</t>
  </si>
  <si>
    <t>41,42,43,44,99</t>
  </si>
  <si>
    <t>PC-Soporte_TI</t>
  </si>
  <si>
    <t>PCS-EC-F2-01</t>
  </si>
  <si>
    <t>PortChannel</t>
  </si>
  <si>
    <t>Switch Core</t>
  </si>
  <si>
    <t>Switch Dist</t>
  </si>
  <si>
    <t>G1/0/1-2</t>
  </si>
  <si>
    <t>Edificio</t>
  </si>
  <si>
    <t>G1/0/3-4</t>
  </si>
  <si>
    <t>Ingenieria Industrial</t>
  </si>
  <si>
    <t>G1/0/5-6</t>
  </si>
  <si>
    <t>Biomedica</t>
  </si>
  <si>
    <t>G1/0/7-8</t>
  </si>
  <si>
    <t>G1/0/9-10</t>
  </si>
  <si>
    <t>Administracion E</t>
  </si>
  <si>
    <t>Portchannel</t>
  </si>
  <si>
    <t>G0/1-2</t>
  </si>
  <si>
    <t>G1/0/11-12</t>
  </si>
  <si>
    <t>Nombre Switch</t>
  </si>
  <si>
    <t>G1/0/13-14</t>
  </si>
  <si>
    <t>G1/0/15-16</t>
  </si>
  <si>
    <t>G1/0/17-18</t>
  </si>
  <si>
    <t>G1/0/19-20</t>
  </si>
  <si>
    <t>G1/0/21-22</t>
  </si>
  <si>
    <t>PortChannel2</t>
  </si>
  <si>
    <t>EDIFICIO CENTRAL</t>
  </si>
  <si>
    <t>INGENIERIA INDUSTRIAL</t>
  </si>
  <si>
    <t xml:space="preserve">INGENIERIA MEDICA </t>
  </si>
  <si>
    <t>BIBLIOTECA</t>
  </si>
  <si>
    <t>Administracion Empresarial</t>
  </si>
  <si>
    <t>6--&gt;F0/1-24</t>
  </si>
  <si>
    <t>AP-EC-F1-01</t>
  </si>
  <si>
    <t>DHCP</t>
  </si>
  <si>
    <t xml:space="preserve">DHCP </t>
  </si>
  <si>
    <t>Access-point</t>
  </si>
  <si>
    <t>Laboratorios_II</t>
  </si>
  <si>
    <t xml:space="preserve">Access point </t>
  </si>
  <si>
    <t>AP-II-F1-01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</si>
</sst>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2" borderId="1" xfId="0" applyFill="1" applyBorder="1"/>
    <xf numFmtId="0" fontId="0" fillId="4" borderId="4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3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5AC64-4E46-483D-91DE-14ABFE53F1F8}" name="Tabla1" displayName="Tabla1" ref="B1:F6" totalsRowShown="0" headerRowDxfId="34" dataDxfId="33">
  <autoFilter ref="B1:F6" xr:uid="{46F5AC64-4E46-483D-91DE-14ABFE53F1F8}"/>
  <tableColumns count="5">
    <tableColumn id="1" xr3:uid="{6DCC5C6C-8D7B-4096-8B78-D37B1E35320A}" name="PortChannel" dataDxfId="32"/>
    <tableColumn id="2" xr3:uid="{DFE7F716-41EE-45F5-974A-E5BFD272175E}" name="Switch Core" dataDxfId="31"/>
    <tableColumn id="3" xr3:uid="{153DF1D9-CB99-449A-B7C2-016578C80CEB}" name="Switch Dist" dataDxfId="30"/>
    <tableColumn id="4" xr3:uid="{349D1D81-107C-4BF3-AB94-FA1801F6BBB3}" name="Edificio" dataDxfId="29"/>
    <tableColumn id="5" xr3:uid="{9962B0E4-75FA-4580-BA7B-303DB56C3CB6}" name="Nombre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B69735-339B-4777-83CE-2C5B188D4A9C}" name="Tabla2" displayName="Tabla2" ref="B10:F16" totalsRowShown="0" headerRowDxfId="27" dataDxfId="26">
  <autoFilter ref="B10:F16" xr:uid="{22B69735-339B-4777-83CE-2C5B188D4A9C}"/>
  <tableColumns count="5">
    <tableColumn id="1" xr3:uid="{C3ACE576-E818-420F-B687-0E85B1992C91}" name="Portchannel" dataDxfId="25"/>
    <tableColumn id="2" xr3:uid="{7F2CDE1E-A9A7-4F97-9B07-FE91E915C5F5}" name="Switch Dist" dataDxfId="24"/>
    <tableColumn id="3" xr3:uid="{B4B38608-11FF-4731-8F32-D9737DD0A0E5}" name="Switch Acceso" dataDxfId="23"/>
    <tableColumn id="4" xr3:uid="{C4F9E2F0-F4DB-4D7A-BDD3-242827EBA3DD}" name="Nombre Switch" dataDxfId="22"/>
    <tableColumn id="5" xr3:uid="{D80A96E8-C407-4964-A755-B3FA8BBE53D1}" name="PortChannel2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82EB6D-C3AE-45E7-AE4E-2DBEF4514573}" name="Tabla24" displayName="Tabla24" ref="B20:F24" totalsRowShown="0" headerRowDxfId="20" dataDxfId="19">
  <autoFilter ref="B20:F24" xr:uid="{5082EB6D-C3AE-45E7-AE4E-2DBEF4514573}"/>
  <tableColumns count="5">
    <tableColumn id="1" xr3:uid="{01729B4A-5FD0-475F-B0DC-1B95074E809F}" name="Portchannel" dataDxfId="18"/>
    <tableColumn id="2" xr3:uid="{3D9C966F-D4DB-46C0-AA92-25D43937EA0D}" name="Switch Dist" dataDxfId="17"/>
    <tableColumn id="3" xr3:uid="{479D758D-19E3-4118-BD90-8A5B146AB4EC}" name="Switch Acceso" dataDxfId="16"/>
    <tableColumn id="4" xr3:uid="{4EDCDF10-FD4E-440A-B5FE-3FC8F9E49594}" name="Nombre Switch" dataDxfId="15"/>
    <tableColumn id="5" xr3:uid="{F7E67CD8-6AA0-49E7-B69A-006CBC1124BA}" name="PortChannel2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CCDF84-4F01-4149-96DE-0301EC6FBB83}" name="Tabla245" displayName="Tabla245" ref="B27:F31" totalsRowShown="0" headerRowDxfId="13" dataDxfId="12">
  <autoFilter ref="B27:F31" xr:uid="{68CCDF84-4F01-4149-96DE-0301EC6FBB83}"/>
  <tableColumns count="5">
    <tableColumn id="1" xr3:uid="{CA3169AD-B9BC-4D9C-B604-01BE88CF7BCF}" name="Portchannel" dataDxfId="11"/>
    <tableColumn id="2" xr3:uid="{16240A6D-C255-41DB-B543-AFF581BFF8E6}" name="Switch Dist" dataDxfId="10"/>
    <tableColumn id="3" xr3:uid="{1CCFD1CD-64BB-4722-B378-CEBF3C30BB21}" name="Switch Acceso" dataDxfId="9"/>
    <tableColumn id="4" xr3:uid="{A2EB245F-86B3-4A8A-B47A-FC5538347F0A}" name="Nombre Switch" dataDxfId="8"/>
    <tableColumn id="5" xr3:uid="{F73BC54C-DCF3-4AF0-8EB9-6F245A3864AE}" name="PortChannel2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458813-4711-4748-B2C9-BAF2E32989C6}" name="Tabla2456" displayName="Tabla2456" ref="B34:F39" totalsRowShown="0" headerRowDxfId="6" dataDxfId="5">
  <autoFilter ref="B34:F39" xr:uid="{DC458813-4711-4748-B2C9-BAF2E32989C6}"/>
  <tableColumns count="5">
    <tableColumn id="1" xr3:uid="{E29EA5B1-0318-4F0D-B9E8-B8E6258CB1AA}" name="Portchannel" dataDxfId="4"/>
    <tableColumn id="2" xr3:uid="{9DD2E99B-A48A-4E38-8BDC-E83488A261A5}" name="Switch Dist" dataDxfId="3"/>
    <tableColumn id="3" xr3:uid="{FB3C075A-A85A-4515-905C-C22AE56A3AAA}" name="Switch Acceso" dataDxfId="2"/>
    <tableColumn id="4" xr3:uid="{E5EDDF1F-B9D2-4E49-BB81-23212097BAF7}" name="Nombre Switch" dataDxfId="1"/>
    <tableColumn id="5" xr3:uid="{DE729DE8-1C57-441D-B3F1-F65CE915FE5B}" name="PortChannel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6F30-016B-4300-BF54-CE9DC9F20FCA}">
  <dimension ref="A2:O26"/>
  <sheetViews>
    <sheetView topLeftCell="F1" zoomScale="101" workbookViewId="0">
      <selection activeCell="M3" sqref="M3:O7"/>
    </sheetView>
  </sheetViews>
  <sheetFormatPr baseColWidth="10" defaultRowHeight="14.4" x14ac:dyDescent="0.3"/>
  <cols>
    <col min="1" max="1" width="17.77734375" bestFit="1" customWidth="1"/>
    <col min="3" max="3" width="16.33203125" bestFit="1" customWidth="1"/>
    <col min="6" max="6" width="15.44140625" bestFit="1" customWidth="1"/>
    <col min="7" max="7" width="19.33203125" bestFit="1" customWidth="1"/>
    <col min="8" max="8" width="16.109375" bestFit="1" customWidth="1"/>
    <col min="14" max="14" width="14" bestFit="1" customWidth="1"/>
  </cols>
  <sheetData>
    <row r="2" spans="1:15" x14ac:dyDescent="0.3">
      <c r="A2" t="s">
        <v>139</v>
      </c>
      <c r="F2" t="s">
        <v>15</v>
      </c>
      <c r="G2" s="1"/>
      <c r="H2" s="1"/>
      <c r="I2" s="1"/>
    </row>
    <row r="3" spans="1:15" x14ac:dyDescent="0.3">
      <c r="B3" s="2" t="s">
        <v>0</v>
      </c>
      <c r="C3" s="2" t="s">
        <v>1</v>
      </c>
      <c r="D3" s="2" t="s">
        <v>2</v>
      </c>
      <c r="E3" s="1"/>
      <c r="G3" s="2" t="s">
        <v>0</v>
      </c>
      <c r="H3" s="2" t="s">
        <v>1</v>
      </c>
      <c r="I3" s="2" t="s">
        <v>2</v>
      </c>
      <c r="J3" s="1"/>
      <c r="K3" s="1"/>
    </row>
    <row r="4" spans="1:15" x14ac:dyDescent="0.3">
      <c r="B4" s="2">
        <v>3</v>
      </c>
      <c r="C4" s="2" t="s">
        <v>314</v>
      </c>
      <c r="D4" s="2">
        <v>100</v>
      </c>
      <c r="E4" s="1"/>
      <c r="G4" s="2">
        <v>21</v>
      </c>
      <c r="H4" s="2" t="s">
        <v>16</v>
      </c>
      <c r="I4" s="2">
        <v>100</v>
      </c>
      <c r="J4" s="1"/>
      <c r="K4" s="1"/>
    </row>
    <row r="5" spans="1:15" x14ac:dyDescent="0.3">
      <c r="B5" s="2">
        <v>4</v>
      </c>
      <c r="C5" s="2" t="s">
        <v>4</v>
      </c>
      <c r="D5" s="2">
        <v>25</v>
      </c>
      <c r="E5" s="1"/>
      <c r="G5" s="2">
        <v>22</v>
      </c>
      <c r="H5" s="2" t="s">
        <v>17</v>
      </c>
      <c r="I5" s="2">
        <v>20</v>
      </c>
      <c r="J5" s="1"/>
      <c r="K5" s="1"/>
    </row>
    <row r="6" spans="1:15" x14ac:dyDescent="0.3">
      <c r="B6" s="2">
        <v>5</v>
      </c>
      <c r="C6" s="2" t="s">
        <v>5</v>
      </c>
      <c r="D6" s="2">
        <v>20</v>
      </c>
      <c r="E6" s="1"/>
      <c r="G6" s="2">
        <v>23</v>
      </c>
      <c r="H6" s="2" t="s">
        <v>18</v>
      </c>
      <c r="I6" s="2">
        <v>20</v>
      </c>
      <c r="J6" s="1"/>
      <c r="K6" s="1"/>
    </row>
    <row r="7" spans="1:15" x14ac:dyDescent="0.3">
      <c r="B7" s="2">
        <v>6</v>
      </c>
      <c r="C7" s="2" t="s">
        <v>6</v>
      </c>
      <c r="D7" s="2">
        <v>5000</v>
      </c>
      <c r="E7" s="1"/>
      <c r="G7" s="2">
        <v>24</v>
      </c>
      <c r="H7" s="2" t="s">
        <v>19</v>
      </c>
      <c r="I7" s="2">
        <v>20</v>
      </c>
      <c r="J7" s="1"/>
      <c r="K7" s="1"/>
    </row>
    <row r="8" spans="1:15" x14ac:dyDescent="0.3">
      <c r="B8" s="2">
        <v>7</v>
      </c>
      <c r="C8" s="2" t="s">
        <v>7</v>
      </c>
      <c r="D8" s="2">
        <v>50</v>
      </c>
      <c r="E8" s="1"/>
      <c r="J8" s="1"/>
      <c r="K8" s="1"/>
      <c r="M8" s="1"/>
      <c r="N8" s="1"/>
      <c r="O8" s="1"/>
    </row>
    <row r="9" spans="1:15" x14ac:dyDescent="0.3">
      <c r="B9" s="2">
        <v>8</v>
      </c>
      <c r="C9" s="2" t="s">
        <v>8</v>
      </c>
      <c r="D9" s="2">
        <v>700</v>
      </c>
      <c r="E9" s="1"/>
      <c r="F9" t="s">
        <v>20</v>
      </c>
      <c r="J9" s="1"/>
      <c r="K9" s="1"/>
      <c r="M9" s="1"/>
      <c r="N9" s="1"/>
      <c r="O9" s="1"/>
    </row>
    <row r="10" spans="1:15" x14ac:dyDescent="0.3">
      <c r="B10" s="2">
        <v>99</v>
      </c>
      <c r="C10" s="2" t="s">
        <v>9</v>
      </c>
      <c r="D10" s="2">
        <v>100</v>
      </c>
      <c r="E10" s="1"/>
      <c r="G10" s="2" t="s">
        <v>0</v>
      </c>
      <c r="H10" s="2" t="s">
        <v>1</v>
      </c>
      <c r="I10" s="2" t="s">
        <v>2</v>
      </c>
      <c r="J10" s="1"/>
      <c r="K10" s="1"/>
    </row>
    <row r="11" spans="1:15" x14ac:dyDescent="0.3">
      <c r="B11" s="1"/>
      <c r="C11" s="1"/>
      <c r="D11" s="1"/>
      <c r="E11" s="1"/>
      <c r="G11" s="2">
        <v>31</v>
      </c>
      <c r="H11" s="2" t="s">
        <v>322</v>
      </c>
      <c r="I11" s="2">
        <v>60</v>
      </c>
      <c r="J11" s="1"/>
      <c r="K11" s="1"/>
    </row>
    <row r="12" spans="1:15" x14ac:dyDescent="0.3">
      <c r="B12" s="1"/>
      <c r="C12" s="1"/>
      <c r="D12" s="1"/>
      <c r="E12" s="1"/>
      <c r="G12" s="2">
        <v>32</v>
      </c>
      <c r="H12" s="2" t="s">
        <v>21</v>
      </c>
      <c r="I12" s="2">
        <v>10</v>
      </c>
      <c r="J12" s="1"/>
      <c r="K12" s="1"/>
    </row>
    <row r="13" spans="1:15" x14ac:dyDescent="0.3">
      <c r="A13" t="s">
        <v>10</v>
      </c>
      <c r="B13" s="2" t="s">
        <v>0</v>
      </c>
      <c r="C13" s="2" t="s">
        <v>1</v>
      </c>
      <c r="D13" s="2" t="s">
        <v>2</v>
      </c>
      <c r="E13" s="1"/>
      <c r="G13" s="2">
        <v>33</v>
      </c>
      <c r="H13" s="2" t="s">
        <v>22</v>
      </c>
      <c r="I13" s="2">
        <v>10</v>
      </c>
      <c r="J13" s="1"/>
      <c r="K13" s="1"/>
    </row>
    <row r="14" spans="1:15" x14ac:dyDescent="0.3">
      <c r="B14" s="2">
        <v>11</v>
      </c>
      <c r="C14" s="2" t="s">
        <v>315</v>
      </c>
      <c r="D14" s="2">
        <v>100</v>
      </c>
      <c r="E14" s="1"/>
      <c r="G14" s="2">
        <v>34</v>
      </c>
      <c r="H14" s="2" t="s">
        <v>320</v>
      </c>
      <c r="I14" s="2">
        <v>10</v>
      </c>
      <c r="J14" s="1"/>
      <c r="K14" s="1"/>
    </row>
    <row r="15" spans="1:15" x14ac:dyDescent="0.3">
      <c r="B15" s="2">
        <v>12</v>
      </c>
      <c r="C15" s="2" t="s">
        <v>12</v>
      </c>
      <c r="D15" s="2">
        <v>20</v>
      </c>
      <c r="E15" s="1"/>
      <c r="F15" s="1"/>
      <c r="G15" s="1"/>
      <c r="H15" s="1"/>
      <c r="I15" s="1"/>
      <c r="J15" s="1"/>
      <c r="K15" s="1"/>
    </row>
    <row r="16" spans="1:15" x14ac:dyDescent="0.3">
      <c r="B16" s="2">
        <v>13</v>
      </c>
      <c r="C16" s="2" t="s">
        <v>13</v>
      </c>
      <c r="D16" s="2">
        <v>20</v>
      </c>
      <c r="E16" s="1"/>
      <c r="F16" s="1"/>
      <c r="G16" s="1"/>
      <c r="H16" s="1"/>
      <c r="I16" s="1"/>
      <c r="J16" s="1"/>
      <c r="K16" s="1"/>
    </row>
    <row r="17" spans="1:11" x14ac:dyDescent="0.3">
      <c r="B17" s="2">
        <v>14</v>
      </c>
      <c r="C17" s="2" t="s">
        <v>14</v>
      </c>
      <c r="D17" s="2">
        <v>20</v>
      </c>
      <c r="E17" s="1"/>
      <c r="F17" s="1"/>
      <c r="G17" s="1"/>
      <c r="H17" s="1"/>
      <c r="I17" s="1"/>
      <c r="J17" s="1"/>
      <c r="K17" s="1"/>
    </row>
    <row r="18" spans="1:1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t="s">
        <v>23</v>
      </c>
      <c r="E20" s="1"/>
      <c r="F20" s="1"/>
      <c r="G20" s="1"/>
      <c r="H20" s="1"/>
      <c r="I20" s="1"/>
      <c r="J20" s="1"/>
      <c r="K20" s="1"/>
    </row>
    <row r="21" spans="1:11" x14ac:dyDescent="0.3">
      <c r="B21" s="2" t="s">
        <v>0</v>
      </c>
      <c r="C21" s="2" t="s">
        <v>1</v>
      </c>
      <c r="D21" s="2" t="s">
        <v>2</v>
      </c>
      <c r="E21" s="1"/>
      <c r="F21" s="1"/>
      <c r="G21" s="1"/>
      <c r="H21" s="1"/>
      <c r="I21" s="1"/>
      <c r="J21" s="1"/>
      <c r="K21" s="1"/>
    </row>
    <row r="22" spans="1:11" x14ac:dyDescent="0.3">
      <c r="B22" s="2">
        <v>41</v>
      </c>
      <c r="C22" s="2" t="s">
        <v>24</v>
      </c>
      <c r="D22" s="2">
        <v>100</v>
      </c>
      <c r="E22" s="1"/>
      <c r="F22" s="1"/>
      <c r="G22" s="1"/>
      <c r="H22" s="1"/>
      <c r="I22" s="1"/>
      <c r="J22" s="1"/>
      <c r="K22" s="1"/>
    </row>
    <row r="23" spans="1:11" x14ac:dyDescent="0.3">
      <c r="B23" s="2">
        <v>42</v>
      </c>
      <c r="C23" s="2" t="s">
        <v>25</v>
      </c>
      <c r="D23" s="2">
        <v>10</v>
      </c>
      <c r="E23" s="1"/>
      <c r="F23" s="1"/>
      <c r="G23" s="1"/>
      <c r="H23" s="1"/>
      <c r="I23" s="1"/>
      <c r="J23" s="1"/>
      <c r="K23" s="1"/>
    </row>
    <row r="24" spans="1:11" x14ac:dyDescent="0.3">
      <c r="B24" s="2">
        <v>43</v>
      </c>
      <c r="C24" s="2" t="s">
        <v>26</v>
      </c>
      <c r="D24" s="2">
        <v>10</v>
      </c>
      <c r="E24" s="1"/>
      <c r="F24" s="1"/>
      <c r="G24" s="1"/>
      <c r="H24" s="1"/>
      <c r="I24" s="1"/>
      <c r="J24" s="1"/>
      <c r="K24" s="1"/>
    </row>
    <row r="25" spans="1:11" x14ac:dyDescent="0.3">
      <c r="B25" s="2">
        <v>44</v>
      </c>
      <c r="C25" s="2" t="s">
        <v>27</v>
      </c>
      <c r="D25" s="2">
        <v>25</v>
      </c>
      <c r="E25" s="1"/>
      <c r="F25" s="1"/>
      <c r="G25" s="1"/>
      <c r="H25" s="1"/>
      <c r="I25" s="1"/>
      <c r="J25" s="1"/>
      <c r="K25" s="1"/>
    </row>
    <row r="26" spans="1:11" x14ac:dyDescent="0.3">
      <c r="B26" s="1"/>
      <c r="C26" s="1"/>
      <c r="D2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BB1E-22A7-45CA-8DD1-F696818FD8D8}">
  <dimension ref="A1:M51"/>
  <sheetViews>
    <sheetView zoomScale="93" workbookViewId="0">
      <selection activeCell="K30" sqref="K30"/>
    </sheetView>
  </sheetViews>
  <sheetFormatPr baseColWidth="10" defaultRowHeight="14.4" x14ac:dyDescent="0.3"/>
  <cols>
    <col min="1" max="1" width="7.44140625" bestFit="1" customWidth="1"/>
    <col min="2" max="2" width="16.44140625" bestFit="1" customWidth="1"/>
    <col min="3" max="3" width="5.6640625" bestFit="1" customWidth="1"/>
    <col min="4" max="4" width="12.6640625" bestFit="1" customWidth="1"/>
    <col min="6" max="6" width="15.33203125" bestFit="1" customWidth="1"/>
    <col min="7" max="7" width="13.109375" bestFit="1" customWidth="1"/>
    <col min="8" max="8" width="17.109375" bestFit="1" customWidth="1"/>
    <col min="9" max="9" width="15.77734375" bestFit="1" customWidth="1"/>
    <col min="11" max="11" width="23.33203125" bestFit="1" customWidth="1"/>
    <col min="13" max="13" width="16.77734375" bestFit="1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2" t="s">
        <v>28</v>
      </c>
      <c r="E1" s="2" t="s">
        <v>34</v>
      </c>
      <c r="F1" s="2" t="s">
        <v>29</v>
      </c>
      <c r="G1" s="2" t="s">
        <v>30</v>
      </c>
      <c r="H1" s="2" t="s">
        <v>31</v>
      </c>
      <c r="I1" s="2" t="s">
        <v>32</v>
      </c>
    </row>
    <row r="2" spans="1:13" x14ac:dyDescent="0.3">
      <c r="A2" s="2">
        <v>6</v>
      </c>
      <c r="B2" s="2" t="s">
        <v>6</v>
      </c>
      <c r="C2" s="3">
        <v>5000</v>
      </c>
      <c r="D2" s="2" t="s">
        <v>33</v>
      </c>
      <c r="E2" s="2" t="s">
        <v>35</v>
      </c>
      <c r="F2" s="5" t="s">
        <v>36</v>
      </c>
      <c r="G2" s="2" t="s">
        <v>37</v>
      </c>
      <c r="H2" s="2" t="s">
        <v>38</v>
      </c>
      <c r="I2" s="2" t="s">
        <v>39</v>
      </c>
      <c r="K2" t="str">
        <f>_xlfn.CONCAT("vlan ",A2,CHAR(10),"name ",B2)</f>
        <v>vlan 6
name Estudiantes</v>
      </c>
      <c r="M2" t="str">
        <f>B2</f>
        <v>Estudiantes</v>
      </c>
    </row>
    <row r="3" spans="1:13" x14ac:dyDescent="0.3">
      <c r="A3" s="2">
        <v>8</v>
      </c>
      <c r="B3" s="2" t="s">
        <v>8</v>
      </c>
      <c r="C3" s="3">
        <v>700</v>
      </c>
      <c r="D3" s="2" t="s">
        <v>40</v>
      </c>
      <c r="E3" s="2" t="s">
        <v>41</v>
      </c>
      <c r="F3" s="5" t="s">
        <v>42</v>
      </c>
      <c r="G3" s="2" t="s">
        <v>43</v>
      </c>
      <c r="H3" s="2" t="s">
        <v>44</v>
      </c>
      <c r="I3" s="2" t="s">
        <v>45</v>
      </c>
      <c r="K3" t="str">
        <f t="shared" ref="K3:K24" si="0">_xlfn.CONCAT("vlan ",A3,CHAR(10),"name ",B3)</f>
        <v>vlan 8
name Profesores</v>
      </c>
      <c r="M3" t="str">
        <f t="shared" ref="M3:M24" si="1">B3</f>
        <v>Profesores</v>
      </c>
    </row>
    <row r="4" spans="1:13" x14ac:dyDescent="0.3">
      <c r="A4" s="2">
        <v>3</v>
      </c>
      <c r="B4" s="2" t="s">
        <v>314</v>
      </c>
      <c r="C4" s="3">
        <v>100</v>
      </c>
      <c r="D4" s="2" t="s">
        <v>47</v>
      </c>
      <c r="E4" s="2" t="s">
        <v>46</v>
      </c>
      <c r="F4" s="5" t="s">
        <v>48</v>
      </c>
      <c r="G4" s="2" t="s">
        <v>49</v>
      </c>
      <c r="H4" s="2" t="s">
        <v>50</v>
      </c>
      <c r="I4" s="2" t="s">
        <v>51</v>
      </c>
      <c r="K4" t="str">
        <f t="shared" si="0"/>
        <v>vlan 3
name Administrativos</v>
      </c>
      <c r="M4" t="str">
        <f t="shared" si="1"/>
        <v>Administrativos</v>
      </c>
    </row>
    <row r="5" spans="1:13" x14ac:dyDescent="0.3">
      <c r="A5" s="2">
        <v>11</v>
      </c>
      <c r="B5" s="2" t="s">
        <v>315</v>
      </c>
      <c r="C5" s="3">
        <v>100</v>
      </c>
      <c r="D5" s="2" t="s">
        <v>56</v>
      </c>
      <c r="E5" s="2" t="s">
        <v>46</v>
      </c>
      <c r="F5" s="5" t="s">
        <v>48</v>
      </c>
      <c r="G5" s="2" t="s">
        <v>59</v>
      </c>
      <c r="H5" s="2" t="s">
        <v>60</v>
      </c>
      <c r="I5" s="2" t="s">
        <v>61</v>
      </c>
      <c r="K5" t="str">
        <f t="shared" si="0"/>
        <v>vlan 11
name Laboratorios_AE</v>
      </c>
      <c r="M5" t="str">
        <f t="shared" si="1"/>
        <v>Laboratorios_AE</v>
      </c>
    </row>
    <row r="6" spans="1:13" x14ac:dyDescent="0.3">
      <c r="A6" s="2">
        <v>21</v>
      </c>
      <c r="B6" s="2" t="s">
        <v>16</v>
      </c>
      <c r="C6" s="3">
        <v>100</v>
      </c>
      <c r="D6" s="2" t="s">
        <v>62</v>
      </c>
      <c r="E6" s="2" t="s">
        <v>46</v>
      </c>
      <c r="F6" s="5" t="s">
        <v>48</v>
      </c>
      <c r="G6" s="2" t="s">
        <v>63</v>
      </c>
      <c r="H6" s="2" t="s">
        <v>64</v>
      </c>
      <c r="I6" s="2" t="s">
        <v>65</v>
      </c>
      <c r="K6" t="str">
        <f t="shared" si="0"/>
        <v>vlan 21
name Laboratorios_ll</v>
      </c>
      <c r="M6" t="str">
        <f t="shared" si="1"/>
        <v>Laboratorios_ll</v>
      </c>
    </row>
    <row r="7" spans="1:13" x14ac:dyDescent="0.3">
      <c r="A7" s="2">
        <v>41</v>
      </c>
      <c r="B7" s="2" t="s">
        <v>24</v>
      </c>
      <c r="C7" s="3">
        <v>100</v>
      </c>
      <c r="D7" s="2" t="s">
        <v>66</v>
      </c>
      <c r="E7" s="2" t="s">
        <v>46</v>
      </c>
      <c r="F7" s="5" t="s">
        <v>48</v>
      </c>
      <c r="G7" s="2" t="s">
        <v>67</v>
      </c>
      <c r="H7" s="2" t="s">
        <v>68</v>
      </c>
      <c r="I7" s="2" t="s">
        <v>69</v>
      </c>
      <c r="K7" t="str">
        <f t="shared" si="0"/>
        <v>vlan 41
name Salas_lectura_BB</v>
      </c>
      <c r="M7" t="str">
        <f t="shared" si="1"/>
        <v>Salas_lectura_BB</v>
      </c>
    </row>
    <row r="8" spans="1:13" x14ac:dyDescent="0.3">
      <c r="A8" s="2">
        <v>99</v>
      </c>
      <c r="B8" s="2" t="s">
        <v>9</v>
      </c>
      <c r="C8" s="3">
        <v>100</v>
      </c>
      <c r="D8" s="2" t="s">
        <v>52</v>
      </c>
      <c r="E8" s="2" t="s">
        <v>46</v>
      </c>
      <c r="F8" s="5" t="s">
        <v>48</v>
      </c>
      <c r="G8" s="2" t="s">
        <v>53</v>
      </c>
      <c r="H8" s="2" t="s">
        <v>54</v>
      </c>
      <c r="I8" s="2" t="s">
        <v>55</v>
      </c>
      <c r="K8" t="str">
        <f t="shared" si="0"/>
        <v>vlan 99
name Admin_TI</v>
      </c>
      <c r="M8" t="str">
        <f t="shared" si="1"/>
        <v>Admin_TI</v>
      </c>
    </row>
    <row r="9" spans="1:13" x14ac:dyDescent="0.3">
      <c r="A9" s="2">
        <v>31</v>
      </c>
      <c r="B9" s="2" t="s">
        <v>322</v>
      </c>
      <c r="C9" s="3">
        <v>60</v>
      </c>
      <c r="D9" s="2" t="s">
        <v>70</v>
      </c>
      <c r="E9" s="2" t="s">
        <v>57</v>
      </c>
      <c r="F9" s="5" t="s">
        <v>71</v>
      </c>
      <c r="G9" s="2" t="s">
        <v>72</v>
      </c>
      <c r="H9" s="2" t="s">
        <v>73</v>
      </c>
      <c r="I9" s="2" t="s">
        <v>74</v>
      </c>
      <c r="K9" t="str">
        <f t="shared" si="0"/>
        <v>vlan 31
name Laboratorios_IB</v>
      </c>
      <c r="M9" t="str">
        <f t="shared" si="1"/>
        <v>Laboratorios_IB</v>
      </c>
    </row>
    <row r="10" spans="1:13" x14ac:dyDescent="0.3">
      <c r="A10" s="2">
        <v>7</v>
      </c>
      <c r="B10" s="2" t="s">
        <v>7</v>
      </c>
      <c r="C10" s="3">
        <v>50</v>
      </c>
      <c r="D10" s="2" t="s">
        <v>75</v>
      </c>
      <c r="E10" s="2" t="s">
        <v>57</v>
      </c>
      <c r="F10" s="5" t="s">
        <v>71</v>
      </c>
      <c r="G10" s="2" t="s">
        <v>76</v>
      </c>
      <c r="H10" s="2" t="s">
        <v>77</v>
      </c>
      <c r="I10" s="2" t="s">
        <v>78</v>
      </c>
      <c r="K10" t="str">
        <f t="shared" si="0"/>
        <v>vlan 7
name Servidores</v>
      </c>
      <c r="M10" t="str">
        <f t="shared" si="1"/>
        <v>Servidores</v>
      </c>
    </row>
    <row r="11" spans="1:13" x14ac:dyDescent="0.3">
      <c r="A11" s="2">
        <v>4</v>
      </c>
      <c r="B11" s="2" t="s">
        <v>4</v>
      </c>
      <c r="C11" s="3">
        <v>25</v>
      </c>
      <c r="D11" s="2" t="s">
        <v>79</v>
      </c>
      <c r="E11" s="2" t="s">
        <v>58</v>
      </c>
      <c r="F11" s="5" t="s">
        <v>80</v>
      </c>
      <c r="G11" s="2" t="s">
        <v>81</v>
      </c>
      <c r="H11" s="2" t="s">
        <v>82</v>
      </c>
      <c r="I11" s="2" t="s">
        <v>83</v>
      </c>
      <c r="K11" t="str">
        <f t="shared" si="0"/>
        <v>vlan 4
name Directivos</v>
      </c>
      <c r="M11" t="str">
        <f t="shared" si="1"/>
        <v>Directivos</v>
      </c>
    </row>
    <row r="12" spans="1:13" x14ac:dyDescent="0.3">
      <c r="A12" s="2">
        <v>44</v>
      </c>
      <c r="B12" s="2" t="s">
        <v>27</v>
      </c>
      <c r="C12" s="3">
        <v>25</v>
      </c>
      <c r="D12" s="2" t="s">
        <v>84</v>
      </c>
      <c r="E12" s="2" t="s">
        <v>58</v>
      </c>
      <c r="F12" s="5" t="s">
        <v>80</v>
      </c>
      <c r="G12" s="2" t="s">
        <v>85</v>
      </c>
      <c r="H12" s="2" t="s">
        <v>86</v>
      </c>
      <c r="I12" s="2" t="s">
        <v>87</v>
      </c>
      <c r="K12" t="str">
        <f t="shared" si="0"/>
        <v>vlan 44
name Control_BB</v>
      </c>
      <c r="M12" t="str">
        <f t="shared" si="1"/>
        <v>Control_BB</v>
      </c>
    </row>
    <row r="13" spans="1:13" x14ac:dyDescent="0.3">
      <c r="A13" s="2">
        <v>5</v>
      </c>
      <c r="B13" s="2" t="s">
        <v>5</v>
      </c>
      <c r="C13" s="3">
        <v>20</v>
      </c>
      <c r="D13" s="2" t="s">
        <v>88</v>
      </c>
      <c r="E13" s="2" t="s">
        <v>58</v>
      </c>
      <c r="F13" s="5" t="s">
        <v>80</v>
      </c>
      <c r="G13" s="2" t="s">
        <v>89</v>
      </c>
      <c r="H13" s="2" t="s">
        <v>90</v>
      </c>
      <c r="I13" s="2" t="s">
        <v>91</v>
      </c>
      <c r="K13" t="str">
        <f t="shared" si="0"/>
        <v>vlan 5
name Soporte_TI</v>
      </c>
      <c r="M13" t="str">
        <f t="shared" si="1"/>
        <v>Soporte_TI</v>
      </c>
    </row>
    <row r="14" spans="1:13" x14ac:dyDescent="0.3">
      <c r="A14" s="2">
        <v>12</v>
      </c>
      <c r="B14" s="2" t="s">
        <v>12</v>
      </c>
      <c r="C14" s="3">
        <v>20</v>
      </c>
      <c r="D14" s="2" t="s">
        <v>92</v>
      </c>
      <c r="E14" s="2" t="s">
        <v>58</v>
      </c>
      <c r="F14" s="5" t="s">
        <v>80</v>
      </c>
      <c r="G14" s="2" t="s">
        <v>93</v>
      </c>
      <c r="H14" s="2" t="s">
        <v>95</v>
      </c>
      <c r="I14" s="2" t="s">
        <v>94</v>
      </c>
      <c r="K14" t="str">
        <f t="shared" si="0"/>
        <v>vlan 12
name Camaras_AE</v>
      </c>
      <c r="M14" t="str">
        <f t="shared" si="1"/>
        <v>Camaras_AE</v>
      </c>
    </row>
    <row r="15" spans="1:13" x14ac:dyDescent="0.3">
      <c r="A15" s="2">
        <v>13</v>
      </c>
      <c r="B15" s="2" t="s">
        <v>13</v>
      </c>
      <c r="C15" s="3">
        <v>20</v>
      </c>
      <c r="D15" s="2" t="s">
        <v>96</v>
      </c>
      <c r="E15" s="2" t="s">
        <v>58</v>
      </c>
      <c r="F15" s="5" t="s">
        <v>80</v>
      </c>
      <c r="G15" s="2" t="s">
        <v>97</v>
      </c>
      <c r="H15" s="2" t="s">
        <v>98</v>
      </c>
      <c r="I15" s="2" t="s">
        <v>99</v>
      </c>
      <c r="K15" t="str">
        <f t="shared" si="0"/>
        <v>vlan 13
name Jefatura_AE</v>
      </c>
      <c r="M15" t="str">
        <f t="shared" si="1"/>
        <v>Jefatura_AE</v>
      </c>
    </row>
    <row r="16" spans="1:13" x14ac:dyDescent="0.3">
      <c r="A16" s="2">
        <v>14</v>
      </c>
      <c r="B16" s="2" t="s">
        <v>14</v>
      </c>
      <c r="C16" s="3">
        <v>20</v>
      </c>
      <c r="D16" s="2" t="s">
        <v>100</v>
      </c>
      <c r="E16" s="2" t="s">
        <v>58</v>
      </c>
      <c r="F16" s="5" t="s">
        <v>80</v>
      </c>
      <c r="G16" s="2" t="s">
        <v>101</v>
      </c>
      <c r="H16" s="2" t="s">
        <v>102</v>
      </c>
      <c r="I16" s="2" t="s">
        <v>103</v>
      </c>
      <c r="K16" t="str">
        <f t="shared" si="0"/>
        <v>vlan 14
name Administrativos_AE</v>
      </c>
      <c r="M16" t="str">
        <f t="shared" si="1"/>
        <v>Administrativos_AE</v>
      </c>
    </row>
    <row r="17" spans="1:13" x14ac:dyDescent="0.3">
      <c r="A17" s="2">
        <v>22</v>
      </c>
      <c r="B17" s="2" t="s">
        <v>316</v>
      </c>
      <c r="C17" s="3">
        <v>20</v>
      </c>
      <c r="D17" s="2" t="s">
        <v>104</v>
      </c>
      <c r="E17" s="2" t="s">
        <v>58</v>
      </c>
      <c r="F17" s="5" t="s">
        <v>80</v>
      </c>
      <c r="G17" s="2" t="s">
        <v>105</v>
      </c>
      <c r="H17" s="2" t="s">
        <v>106</v>
      </c>
      <c r="I17" s="2" t="s">
        <v>107</v>
      </c>
      <c r="K17" t="str">
        <f t="shared" si="0"/>
        <v>vlan 22
name Camaras_ll</v>
      </c>
      <c r="M17" t="str">
        <f t="shared" si="1"/>
        <v>Camaras_ll</v>
      </c>
    </row>
    <row r="18" spans="1:13" x14ac:dyDescent="0.3">
      <c r="A18" s="2">
        <v>23</v>
      </c>
      <c r="B18" s="2" t="s">
        <v>317</v>
      </c>
      <c r="C18" s="3">
        <v>20</v>
      </c>
      <c r="D18" s="2" t="s">
        <v>108</v>
      </c>
      <c r="E18" s="2" t="s">
        <v>58</v>
      </c>
      <c r="F18" s="5" t="s">
        <v>80</v>
      </c>
      <c r="G18" s="2" t="s">
        <v>109</v>
      </c>
      <c r="H18" s="2" t="s">
        <v>110</v>
      </c>
      <c r="I18" s="2" t="s">
        <v>111</v>
      </c>
      <c r="K18" t="str">
        <f t="shared" si="0"/>
        <v>vlan 23
name Jefatura_ll</v>
      </c>
      <c r="M18" t="str">
        <f t="shared" si="1"/>
        <v>Jefatura_ll</v>
      </c>
    </row>
    <row r="19" spans="1:13" x14ac:dyDescent="0.3">
      <c r="A19" s="2">
        <v>24</v>
      </c>
      <c r="B19" s="2" t="s">
        <v>19</v>
      </c>
      <c r="C19" s="3">
        <v>20</v>
      </c>
      <c r="D19" s="6" t="s">
        <v>112</v>
      </c>
      <c r="E19" s="6" t="s">
        <v>58</v>
      </c>
      <c r="F19" s="7" t="s">
        <v>80</v>
      </c>
      <c r="G19" s="6" t="s">
        <v>113</v>
      </c>
      <c r="H19" s="6" t="s">
        <v>115</v>
      </c>
      <c r="I19" s="6" t="s">
        <v>114</v>
      </c>
      <c r="K19" t="str">
        <f t="shared" si="0"/>
        <v>vlan 24
name Administrativos_ll</v>
      </c>
      <c r="M19" t="str">
        <f t="shared" si="1"/>
        <v>Administrativos_ll</v>
      </c>
    </row>
    <row r="20" spans="1:13" x14ac:dyDescent="0.3">
      <c r="A20" s="2">
        <v>32</v>
      </c>
      <c r="B20" s="2" t="s">
        <v>318</v>
      </c>
      <c r="C20" s="3">
        <v>10</v>
      </c>
      <c r="D20" s="6" t="s">
        <v>116</v>
      </c>
      <c r="E20" s="6" t="s">
        <v>117</v>
      </c>
      <c r="F20" s="7" t="s">
        <v>118</v>
      </c>
      <c r="G20" s="6" t="s">
        <v>119</v>
      </c>
      <c r="H20" s="6" t="s">
        <v>121</v>
      </c>
      <c r="I20" s="6" t="s">
        <v>120</v>
      </c>
      <c r="K20" t="str">
        <f t="shared" si="0"/>
        <v>vlan 32
name Camaras_IB</v>
      </c>
      <c r="M20" t="str">
        <f t="shared" si="1"/>
        <v>Camaras_IB</v>
      </c>
    </row>
    <row r="21" spans="1:13" x14ac:dyDescent="0.3">
      <c r="A21" s="2">
        <v>33</v>
      </c>
      <c r="B21" s="2" t="s">
        <v>319</v>
      </c>
      <c r="C21" s="3">
        <v>10</v>
      </c>
      <c r="D21" s="6" t="s">
        <v>122</v>
      </c>
      <c r="E21" s="6" t="s">
        <v>117</v>
      </c>
      <c r="F21" s="7" t="s">
        <v>118</v>
      </c>
      <c r="G21" s="6" t="s">
        <v>123</v>
      </c>
      <c r="H21" s="6" t="s">
        <v>124</v>
      </c>
      <c r="I21" s="6" t="s">
        <v>125</v>
      </c>
      <c r="K21" t="str">
        <f t="shared" si="0"/>
        <v>vlan 33
name Jefatura_IB</v>
      </c>
      <c r="M21" t="str">
        <f t="shared" si="1"/>
        <v>Jefatura_IB</v>
      </c>
    </row>
    <row r="22" spans="1:13" x14ac:dyDescent="0.3">
      <c r="A22" s="2">
        <v>34</v>
      </c>
      <c r="B22" s="2" t="s">
        <v>321</v>
      </c>
      <c r="C22" s="3">
        <v>10</v>
      </c>
      <c r="D22" s="6" t="s">
        <v>126</v>
      </c>
      <c r="E22" s="6" t="s">
        <v>117</v>
      </c>
      <c r="F22" s="7" t="s">
        <v>118</v>
      </c>
      <c r="G22" s="6" t="s">
        <v>128</v>
      </c>
      <c r="H22" s="6" t="s">
        <v>129</v>
      </c>
      <c r="I22" s="6" t="s">
        <v>130</v>
      </c>
      <c r="K22" t="str">
        <f t="shared" si="0"/>
        <v>vlan 34
name Administrativos_Ib</v>
      </c>
      <c r="M22" t="str">
        <f t="shared" si="1"/>
        <v>Administrativos_Ib</v>
      </c>
    </row>
    <row r="23" spans="1:13" x14ac:dyDescent="0.3">
      <c r="A23" s="2">
        <v>42</v>
      </c>
      <c r="B23" s="2" t="s">
        <v>25</v>
      </c>
      <c r="C23" s="3">
        <v>10</v>
      </c>
      <c r="D23" s="6" t="s">
        <v>127</v>
      </c>
      <c r="E23" s="6" t="s">
        <v>117</v>
      </c>
      <c r="F23" s="7" t="s">
        <v>118</v>
      </c>
      <c r="G23" s="6" t="s">
        <v>131</v>
      </c>
      <c r="H23" s="6" t="s">
        <v>132</v>
      </c>
      <c r="I23" s="6" t="s">
        <v>133</v>
      </c>
      <c r="K23" t="str">
        <f t="shared" si="0"/>
        <v>vlan 42
name Camaras_BB</v>
      </c>
      <c r="M23" t="str">
        <f t="shared" si="1"/>
        <v>Camaras_BB</v>
      </c>
    </row>
    <row r="24" spans="1:13" x14ac:dyDescent="0.3">
      <c r="A24" s="2">
        <v>43</v>
      </c>
      <c r="B24" s="2" t="s">
        <v>26</v>
      </c>
      <c r="C24" s="3">
        <v>10</v>
      </c>
      <c r="D24" s="6" t="s">
        <v>134</v>
      </c>
      <c r="E24" s="6" t="s">
        <v>117</v>
      </c>
      <c r="F24" s="7" t="s">
        <v>118</v>
      </c>
      <c r="G24" s="6" t="s">
        <v>135</v>
      </c>
      <c r="H24" s="6" t="s">
        <v>136</v>
      </c>
      <c r="I24" s="6" t="s">
        <v>137</v>
      </c>
      <c r="K24" t="str">
        <f t="shared" si="0"/>
        <v>vlan 43
name Jefatura_BB</v>
      </c>
      <c r="M24" t="str">
        <f t="shared" si="1"/>
        <v>Jefatura_BB</v>
      </c>
    </row>
    <row r="25" spans="1:13" x14ac:dyDescent="0.3">
      <c r="F25" s="4"/>
    </row>
    <row r="26" spans="1:13" x14ac:dyDescent="0.3">
      <c r="F26" s="4"/>
    </row>
    <row r="27" spans="1:13" x14ac:dyDescent="0.3">
      <c r="A27" s="42"/>
      <c r="B27" s="42"/>
    </row>
    <row r="28" spans="1:13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3" x14ac:dyDescent="0.3">
      <c r="A29" s="1"/>
      <c r="B29" s="1"/>
      <c r="C29" s="1"/>
      <c r="D29" s="1"/>
      <c r="E29" s="1"/>
      <c r="F29" s="8"/>
      <c r="G29" s="1"/>
      <c r="H29" s="1"/>
      <c r="I29" s="1"/>
    </row>
    <row r="30" spans="1:13" x14ac:dyDescent="0.3">
      <c r="A30" s="1"/>
      <c r="B30" s="1"/>
      <c r="C30" s="1"/>
      <c r="D30" s="1"/>
      <c r="E30" s="1"/>
      <c r="F30" s="8"/>
      <c r="G30" s="1"/>
      <c r="H30" s="1"/>
      <c r="I30" s="1"/>
    </row>
    <row r="31" spans="1:13" x14ac:dyDescent="0.3">
      <c r="A31" s="1"/>
      <c r="B31" s="1"/>
      <c r="C31" s="1"/>
      <c r="D31" s="1"/>
      <c r="E31" s="1"/>
      <c r="F31" s="8"/>
      <c r="G31" s="1"/>
      <c r="H31" s="1"/>
      <c r="I31" s="1"/>
    </row>
    <row r="32" spans="1:13" x14ac:dyDescent="0.3">
      <c r="A32" s="1"/>
      <c r="B32" s="1"/>
      <c r="C32" s="1"/>
      <c r="D32" s="1"/>
      <c r="E32" s="1"/>
      <c r="F32" s="8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8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8"/>
      <c r="G34" s="1"/>
      <c r="H34" s="1"/>
      <c r="I34" s="1"/>
    </row>
    <row r="51" spans="1:9" x14ac:dyDescent="0.3">
      <c r="A51" s="1"/>
      <c r="B51" s="1"/>
      <c r="C51" s="1"/>
      <c r="D51" s="1"/>
      <c r="E51" s="1"/>
      <c r="F51" s="8"/>
      <c r="G51" s="1"/>
      <c r="H51" s="1"/>
      <c r="I51" s="1"/>
    </row>
  </sheetData>
  <autoFilter ref="A1:I24" xr:uid="{0526BB1E-22A7-45CA-8DD1-F696818FD8D8}">
    <sortState xmlns:xlrd2="http://schemas.microsoft.com/office/spreadsheetml/2017/richdata2" ref="A2:I24">
      <sortCondition descending="1" ref="C1:C24"/>
    </sortState>
  </autoFilter>
  <sortState xmlns:xlrd2="http://schemas.microsoft.com/office/spreadsheetml/2017/richdata2" ref="A2:I24">
    <sortCondition ref="A2:A24"/>
  </sortState>
  <mergeCells count="1">
    <mergeCell ref="A27:B2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238E-FC8D-46CA-923A-3C06701FBBF7}">
  <dimension ref="A2:L63"/>
  <sheetViews>
    <sheetView topLeftCell="A2" zoomScale="122" zoomScaleNormal="128" workbookViewId="0">
      <selection activeCell="E16" sqref="E16"/>
    </sheetView>
  </sheetViews>
  <sheetFormatPr baseColWidth="10" defaultRowHeight="14.4" x14ac:dyDescent="0.3"/>
  <cols>
    <col min="1" max="1" width="12.77734375" bestFit="1" customWidth="1"/>
    <col min="2" max="2" width="17.109375" bestFit="1" customWidth="1"/>
    <col min="3" max="3" width="14.6640625" customWidth="1"/>
    <col min="4" max="4" width="13" bestFit="1" customWidth="1"/>
    <col min="5" max="5" width="22.6640625" bestFit="1" customWidth="1"/>
    <col min="6" max="6" width="21" customWidth="1"/>
    <col min="7" max="7" width="14.77734375" bestFit="1" customWidth="1"/>
    <col min="8" max="8" width="13.109375" bestFit="1" customWidth="1"/>
    <col min="9" max="9" width="30.77734375" bestFit="1" customWidth="1"/>
    <col min="10" max="10" width="15.44140625" bestFit="1" customWidth="1"/>
    <col min="12" max="12" width="27" bestFit="1" customWidth="1"/>
    <col min="13" max="13" width="15.33203125" bestFit="1" customWidth="1"/>
    <col min="15" max="15" width="11.6640625" bestFit="1" customWidth="1"/>
  </cols>
  <sheetData>
    <row r="2" spans="2:10" x14ac:dyDescent="0.3">
      <c r="B2" s="42" t="s">
        <v>140</v>
      </c>
      <c r="C2" s="42"/>
      <c r="D2" s="42"/>
    </row>
    <row r="3" spans="2:10" x14ac:dyDescent="0.3">
      <c r="B3" s="41" t="s">
        <v>139</v>
      </c>
      <c r="C3" s="41"/>
    </row>
    <row r="4" spans="2:10" x14ac:dyDescent="0.3">
      <c r="B4" s="13" t="s">
        <v>0</v>
      </c>
      <c r="C4" s="13" t="s">
        <v>1</v>
      </c>
      <c r="D4" s="13" t="s">
        <v>2</v>
      </c>
      <c r="E4" s="13" t="s">
        <v>28</v>
      </c>
      <c r="F4" s="13" t="s">
        <v>34</v>
      </c>
      <c r="G4" s="13" t="s">
        <v>29</v>
      </c>
      <c r="H4" s="13" t="s">
        <v>30</v>
      </c>
      <c r="I4" s="13" t="s">
        <v>31</v>
      </c>
      <c r="J4" s="13" t="s">
        <v>32</v>
      </c>
    </row>
    <row r="5" spans="2:10" x14ac:dyDescent="0.3">
      <c r="B5" s="2">
        <v>3</v>
      </c>
      <c r="C5" s="2" t="s">
        <v>3</v>
      </c>
      <c r="D5" s="2">
        <v>100</v>
      </c>
      <c r="E5" s="2" t="s">
        <v>47</v>
      </c>
      <c r="F5" s="2" t="s">
        <v>46</v>
      </c>
      <c r="G5" s="5" t="s">
        <v>48</v>
      </c>
      <c r="H5" s="2" t="s">
        <v>49</v>
      </c>
      <c r="I5" s="2" t="s">
        <v>50</v>
      </c>
      <c r="J5" s="2" t="s">
        <v>51</v>
      </c>
    </row>
    <row r="6" spans="2:10" x14ac:dyDescent="0.3">
      <c r="B6" s="2">
        <v>4</v>
      </c>
      <c r="C6" s="2" t="s">
        <v>4</v>
      </c>
      <c r="D6" s="2">
        <v>25</v>
      </c>
      <c r="E6" s="2" t="s">
        <v>79</v>
      </c>
      <c r="F6" s="2" t="s">
        <v>58</v>
      </c>
      <c r="G6" s="5" t="s">
        <v>80</v>
      </c>
      <c r="H6" s="2" t="s">
        <v>81</v>
      </c>
      <c r="I6" s="2" t="s">
        <v>82</v>
      </c>
      <c r="J6" s="2" t="s">
        <v>83</v>
      </c>
    </row>
    <row r="7" spans="2:10" x14ac:dyDescent="0.3">
      <c r="B7" s="2">
        <v>5</v>
      </c>
      <c r="C7" s="2" t="s">
        <v>5</v>
      </c>
      <c r="D7" s="2">
        <v>20</v>
      </c>
      <c r="E7" s="2" t="s">
        <v>88</v>
      </c>
      <c r="F7" s="2" t="s">
        <v>58</v>
      </c>
      <c r="G7" s="5" t="s">
        <v>80</v>
      </c>
      <c r="H7" s="2" t="s">
        <v>89</v>
      </c>
      <c r="I7" s="2" t="s">
        <v>90</v>
      </c>
      <c r="J7" s="2" t="s">
        <v>91</v>
      </c>
    </row>
    <row r="8" spans="2:10" x14ac:dyDescent="0.3">
      <c r="B8" s="2">
        <v>6</v>
      </c>
      <c r="C8" s="2" t="s">
        <v>6</v>
      </c>
      <c r="D8" s="2">
        <v>5000</v>
      </c>
      <c r="E8" s="2" t="s">
        <v>33</v>
      </c>
      <c r="F8" s="2" t="s">
        <v>35</v>
      </c>
      <c r="G8" s="5" t="s">
        <v>36</v>
      </c>
      <c r="H8" s="2" t="s">
        <v>37</v>
      </c>
      <c r="I8" s="2" t="s">
        <v>38</v>
      </c>
      <c r="J8" s="2" t="s">
        <v>39</v>
      </c>
    </row>
    <row r="9" spans="2:10" x14ac:dyDescent="0.3">
      <c r="B9" s="2">
        <v>7</v>
      </c>
      <c r="C9" s="2" t="s">
        <v>7</v>
      </c>
      <c r="D9" s="2">
        <v>50</v>
      </c>
      <c r="E9" s="2" t="s">
        <v>75</v>
      </c>
      <c r="F9" s="2" t="s">
        <v>57</v>
      </c>
      <c r="G9" s="5" t="s">
        <v>71</v>
      </c>
      <c r="H9" s="2" t="s">
        <v>76</v>
      </c>
      <c r="I9" s="2" t="s">
        <v>77</v>
      </c>
      <c r="J9" s="2" t="s">
        <v>78</v>
      </c>
    </row>
    <row r="10" spans="2:10" x14ac:dyDescent="0.3">
      <c r="B10" s="2">
        <v>8</v>
      </c>
      <c r="C10" s="2" t="s">
        <v>8</v>
      </c>
      <c r="D10" s="2">
        <v>700</v>
      </c>
      <c r="E10" s="2" t="s">
        <v>40</v>
      </c>
      <c r="F10" s="2" t="s">
        <v>41</v>
      </c>
      <c r="G10" s="5" t="s">
        <v>42</v>
      </c>
      <c r="H10" s="2" t="s">
        <v>43</v>
      </c>
      <c r="I10" s="2" t="s">
        <v>44</v>
      </c>
      <c r="J10" s="2" t="s">
        <v>45</v>
      </c>
    </row>
    <row r="11" spans="2:10" x14ac:dyDescent="0.3">
      <c r="B11" s="2">
        <v>99</v>
      </c>
      <c r="C11" s="2" t="s">
        <v>9</v>
      </c>
      <c r="D11" s="2">
        <v>100</v>
      </c>
      <c r="E11" s="2" t="s">
        <v>52</v>
      </c>
      <c r="F11" s="2" t="s">
        <v>46</v>
      </c>
      <c r="G11" s="5" t="s">
        <v>48</v>
      </c>
      <c r="H11" s="2" t="s">
        <v>53</v>
      </c>
      <c r="I11" s="2" t="s">
        <v>54</v>
      </c>
      <c r="J11" s="2" t="s">
        <v>55</v>
      </c>
    </row>
    <row r="15" spans="2:10" x14ac:dyDescent="0.3">
      <c r="B15" s="13" t="s">
        <v>141</v>
      </c>
      <c r="C15" s="13" t="s">
        <v>143</v>
      </c>
      <c r="E15" s="13" t="s">
        <v>155</v>
      </c>
      <c r="F15" s="13" t="s">
        <v>143</v>
      </c>
      <c r="H15" s="13" t="s">
        <v>166</v>
      </c>
      <c r="I15" s="13" t="s">
        <v>143</v>
      </c>
    </row>
    <row r="16" spans="2:10" x14ac:dyDescent="0.3">
      <c r="B16" s="2" t="s">
        <v>142</v>
      </c>
      <c r="C16" s="2" t="s">
        <v>144</v>
      </c>
      <c r="E16" s="2" t="s">
        <v>156</v>
      </c>
      <c r="F16" s="2" t="s">
        <v>157</v>
      </c>
      <c r="H16" s="2" t="s">
        <v>167</v>
      </c>
      <c r="I16" s="2" t="s">
        <v>168</v>
      </c>
    </row>
    <row r="17" spans="1:12" x14ac:dyDescent="0.3">
      <c r="B17" s="2" t="s">
        <v>145</v>
      </c>
      <c r="C17" s="2" t="s">
        <v>146</v>
      </c>
      <c r="E17" s="2" t="s">
        <v>160</v>
      </c>
      <c r="F17" s="2" t="s">
        <v>161</v>
      </c>
      <c r="H17" s="2" t="s">
        <v>169</v>
      </c>
      <c r="I17" s="2" t="s">
        <v>170</v>
      </c>
    </row>
    <row r="18" spans="1:12" x14ac:dyDescent="0.3">
      <c r="B18" s="2" t="s">
        <v>147</v>
      </c>
      <c r="C18" s="2" t="s">
        <v>148</v>
      </c>
      <c r="E18" s="2" t="s">
        <v>158</v>
      </c>
      <c r="F18" s="2" t="s">
        <v>159</v>
      </c>
      <c r="H18" s="2" t="s">
        <v>171</v>
      </c>
      <c r="I18" s="2" t="s">
        <v>172</v>
      </c>
    </row>
    <row r="19" spans="1:12" x14ac:dyDescent="0.3">
      <c r="B19" s="2" t="s">
        <v>151</v>
      </c>
      <c r="C19" s="2" t="s">
        <v>150</v>
      </c>
      <c r="E19" s="2" t="s">
        <v>162</v>
      </c>
      <c r="F19" s="2" t="s">
        <v>163</v>
      </c>
    </row>
    <row r="20" spans="1:12" x14ac:dyDescent="0.3">
      <c r="B20" s="2" t="s">
        <v>152</v>
      </c>
      <c r="C20" s="2" t="s">
        <v>152</v>
      </c>
      <c r="E20" s="2" t="s">
        <v>164</v>
      </c>
      <c r="F20" s="2" t="s">
        <v>165</v>
      </c>
    </row>
    <row r="21" spans="1:12" x14ac:dyDescent="0.3">
      <c r="B21" s="2" t="s">
        <v>153</v>
      </c>
      <c r="C21" s="2" t="s">
        <v>154</v>
      </c>
      <c r="E21" s="1"/>
      <c r="F21" s="1"/>
    </row>
    <row r="22" spans="1:12" x14ac:dyDescent="0.3">
      <c r="B22" s="2" t="s">
        <v>276</v>
      </c>
      <c r="C22" s="2" t="s">
        <v>277</v>
      </c>
    </row>
    <row r="24" spans="1:12" x14ac:dyDescent="0.3">
      <c r="B24" s="41" t="s">
        <v>173</v>
      </c>
      <c r="C24" s="41"/>
    </row>
    <row r="25" spans="1:12" x14ac:dyDescent="0.3">
      <c r="A25" s="16"/>
      <c r="B25" s="13" t="s">
        <v>174</v>
      </c>
      <c r="C25" s="13" t="s">
        <v>175</v>
      </c>
      <c r="D25" s="13" t="s">
        <v>176</v>
      </c>
      <c r="E25" s="13" t="s">
        <v>177</v>
      </c>
      <c r="F25" s="13" t="s">
        <v>138</v>
      </c>
      <c r="G25" s="13" t="s">
        <v>178</v>
      </c>
      <c r="H25" s="13" t="s">
        <v>179</v>
      </c>
      <c r="I25" s="19" t="s">
        <v>308</v>
      </c>
      <c r="J25" s="19" t="s">
        <v>309</v>
      </c>
    </row>
    <row r="26" spans="1:12" x14ac:dyDescent="0.3">
      <c r="A26" s="16"/>
      <c r="B26" s="20" t="s">
        <v>180</v>
      </c>
      <c r="C26" s="20" t="s">
        <v>181</v>
      </c>
      <c r="D26" s="20" t="s">
        <v>182</v>
      </c>
      <c r="E26" s="20" t="s">
        <v>54</v>
      </c>
      <c r="F26" s="21" t="s">
        <v>48</v>
      </c>
      <c r="G26" s="20" t="s">
        <v>55</v>
      </c>
      <c r="H26" s="20">
        <v>6.99</v>
      </c>
      <c r="I26" s="26" t="s">
        <v>375</v>
      </c>
      <c r="J26" s="20" t="s">
        <v>310</v>
      </c>
      <c r="L26" t="str">
        <f>_xlfn.CONCAT(E26," ",F26)</f>
        <v>172.30.36.129 255.255.255.128</v>
      </c>
    </row>
    <row r="27" spans="1:12" x14ac:dyDescent="0.3">
      <c r="A27" s="16"/>
      <c r="B27" s="20" t="s">
        <v>180</v>
      </c>
      <c r="C27" s="20" t="s">
        <v>183</v>
      </c>
      <c r="D27" s="20" t="s">
        <v>182</v>
      </c>
      <c r="E27" s="20" t="s">
        <v>184</v>
      </c>
      <c r="F27" s="21" t="s">
        <v>48</v>
      </c>
      <c r="G27" s="20" t="s">
        <v>55</v>
      </c>
      <c r="H27" s="20">
        <v>6.99</v>
      </c>
      <c r="I27" s="26" t="s">
        <v>375</v>
      </c>
      <c r="J27" s="20" t="s">
        <v>310</v>
      </c>
      <c r="L27" t="str">
        <f t="shared" ref="L27:L61" si="0">_xlfn.CONCAT(E27," ",F27)</f>
        <v>172.30.36.130 255.255.255.128</v>
      </c>
    </row>
    <row r="28" spans="1:12" ht="28.8" x14ac:dyDescent="0.3">
      <c r="A28" s="16"/>
      <c r="B28" s="20" t="s">
        <v>180</v>
      </c>
      <c r="C28" s="20" t="s">
        <v>185</v>
      </c>
      <c r="D28" s="20" t="s">
        <v>182</v>
      </c>
      <c r="E28" s="20" t="s">
        <v>186</v>
      </c>
      <c r="F28" s="21" t="s">
        <v>48</v>
      </c>
      <c r="G28" s="20" t="s">
        <v>55</v>
      </c>
      <c r="H28" s="20" t="s">
        <v>187</v>
      </c>
      <c r="I28" s="26" t="s">
        <v>323</v>
      </c>
      <c r="J28" s="20" t="s">
        <v>310</v>
      </c>
      <c r="L28" t="str">
        <f t="shared" si="0"/>
        <v>172.30.36.131 255.255.255.128</v>
      </c>
    </row>
    <row r="29" spans="1:12" ht="28.8" x14ac:dyDescent="0.3">
      <c r="A29" s="16"/>
      <c r="B29" s="20" t="s">
        <v>180</v>
      </c>
      <c r="C29" s="20" t="s">
        <v>192</v>
      </c>
      <c r="D29" s="20" t="s">
        <v>182</v>
      </c>
      <c r="E29" s="20" t="s">
        <v>188</v>
      </c>
      <c r="F29" s="21" t="s">
        <v>48</v>
      </c>
      <c r="G29" s="20" t="s">
        <v>55</v>
      </c>
      <c r="H29" s="20" t="s">
        <v>187</v>
      </c>
      <c r="I29" s="26" t="s">
        <v>323</v>
      </c>
      <c r="J29" s="20" t="s">
        <v>310</v>
      </c>
      <c r="L29" t="str">
        <f t="shared" si="0"/>
        <v>172.30.36.132 255.255.255.128</v>
      </c>
    </row>
    <row r="30" spans="1:12" ht="43.2" x14ac:dyDescent="0.3">
      <c r="A30" s="16"/>
      <c r="B30" s="20" t="s">
        <v>180</v>
      </c>
      <c r="C30" s="20" t="s">
        <v>189</v>
      </c>
      <c r="D30" s="20" t="s">
        <v>182</v>
      </c>
      <c r="E30" s="20" t="s">
        <v>190</v>
      </c>
      <c r="F30" s="21" t="s">
        <v>48</v>
      </c>
      <c r="G30" s="20" t="s">
        <v>55</v>
      </c>
      <c r="H30" s="20" t="s">
        <v>191</v>
      </c>
      <c r="I30" s="26" t="s">
        <v>311</v>
      </c>
      <c r="J30" s="20" t="s">
        <v>310</v>
      </c>
      <c r="L30" t="str">
        <f t="shared" si="0"/>
        <v>172.30.36.133 255.255.255.128</v>
      </c>
    </row>
    <row r="31" spans="1:12" ht="43.2" x14ac:dyDescent="0.3">
      <c r="A31" s="16"/>
      <c r="B31" s="20" t="s">
        <v>180</v>
      </c>
      <c r="C31" s="20" t="s">
        <v>193</v>
      </c>
      <c r="D31" s="20" t="s">
        <v>182</v>
      </c>
      <c r="E31" s="20" t="s">
        <v>194</v>
      </c>
      <c r="F31" s="21" t="s">
        <v>48</v>
      </c>
      <c r="G31" s="20" t="s">
        <v>55</v>
      </c>
      <c r="H31" s="20" t="s">
        <v>191</v>
      </c>
      <c r="I31" s="26" t="s">
        <v>311</v>
      </c>
      <c r="J31" s="20" t="s">
        <v>310</v>
      </c>
      <c r="L31" t="str">
        <f t="shared" si="0"/>
        <v>172.30.36.134 255.255.255.128</v>
      </c>
    </row>
    <row r="32" spans="1:12" x14ac:dyDescent="0.3">
      <c r="A32" s="16"/>
      <c r="B32" s="20" t="s">
        <v>180</v>
      </c>
      <c r="C32" s="20" t="s">
        <v>195</v>
      </c>
      <c r="D32" s="20" t="s">
        <v>182</v>
      </c>
      <c r="E32" s="20" t="s">
        <v>196</v>
      </c>
      <c r="F32" s="21" t="s">
        <v>48</v>
      </c>
      <c r="G32" s="20" t="s">
        <v>55</v>
      </c>
      <c r="H32" s="20" t="s">
        <v>197</v>
      </c>
      <c r="I32" s="25"/>
      <c r="J32" s="20" t="s">
        <v>312</v>
      </c>
      <c r="L32" t="str">
        <f t="shared" si="0"/>
        <v>172.30.36.135 255.255.255.128</v>
      </c>
    </row>
    <row r="33" spans="1:12" x14ac:dyDescent="0.3">
      <c r="A33" s="16"/>
      <c r="B33" s="20" t="s">
        <v>180</v>
      </c>
      <c r="C33" s="20" t="s">
        <v>198</v>
      </c>
      <c r="D33" s="20" t="s">
        <v>182</v>
      </c>
      <c r="E33" s="20" t="s">
        <v>55</v>
      </c>
      <c r="F33" s="21" t="s">
        <v>48</v>
      </c>
      <c r="G33" s="20"/>
      <c r="H33" s="20" t="s">
        <v>199</v>
      </c>
      <c r="I33" s="25"/>
      <c r="J33" s="20" t="s">
        <v>313</v>
      </c>
      <c r="L33" t="str">
        <f t="shared" si="0"/>
        <v>172.30.36.254 255.255.255.128</v>
      </c>
    </row>
    <row r="34" spans="1:12" x14ac:dyDescent="0.3">
      <c r="A34" s="17"/>
      <c r="B34" s="23"/>
      <c r="C34" s="23"/>
      <c r="D34" s="20" t="s">
        <v>214</v>
      </c>
      <c r="E34" s="20" t="s">
        <v>51</v>
      </c>
      <c r="F34" s="24" t="s">
        <v>48</v>
      </c>
      <c r="G34" s="23"/>
      <c r="H34" s="23"/>
      <c r="I34" s="25"/>
      <c r="J34" s="25"/>
      <c r="L34" t="str">
        <f t="shared" si="0"/>
        <v>172.30.36.126 255.255.255.128</v>
      </c>
    </row>
    <row r="35" spans="1:12" x14ac:dyDescent="0.3">
      <c r="A35" s="17"/>
      <c r="B35" s="23"/>
      <c r="C35" s="23"/>
      <c r="D35" s="20" t="s">
        <v>220</v>
      </c>
      <c r="E35" s="20" t="s">
        <v>83</v>
      </c>
      <c r="F35" s="24" t="s">
        <v>80</v>
      </c>
      <c r="G35" s="23"/>
      <c r="H35" s="23"/>
      <c r="I35" s="25"/>
      <c r="J35" s="25"/>
      <c r="L35" t="str">
        <f t="shared" si="0"/>
        <v>172.30.39.30 255.255.255.224</v>
      </c>
    </row>
    <row r="36" spans="1:12" x14ac:dyDescent="0.3">
      <c r="A36" s="17"/>
      <c r="B36" s="23"/>
      <c r="C36" s="23"/>
      <c r="D36" s="20" t="s">
        <v>222</v>
      </c>
      <c r="E36" s="20" t="s">
        <v>91</v>
      </c>
      <c r="F36" s="20" t="s">
        <v>80</v>
      </c>
      <c r="G36" s="23"/>
      <c r="H36" s="23"/>
      <c r="I36" s="25"/>
      <c r="J36" s="25"/>
      <c r="L36" t="str">
        <f t="shared" si="0"/>
        <v>172.30.39.94 255.255.255.224</v>
      </c>
    </row>
    <row r="37" spans="1:12" x14ac:dyDescent="0.3">
      <c r="A37" s="17"/>
      <c r="B37" s="23"/>
      <c r="C37" s="23"/>
      <c r="D37" s="20" t="s">
        <v>200</v>
      </c>
      <c r="E37" s="20" t="s">
        <v>39</v>
      </c>
      <c r="F37" s="24" t="s">
        <v>36</v>
      </c>
      <c r="G37" s="23"/>
      <c r="H37" s="23"/>
      <c r="I37" s="25"/>
      <c r="J37" s="25"/>
      <c r="L37" t="str">
        <f t="shared" si="0"/>
        <v>172.30.31.254 255.255.224.0</v>
      </c>
    </row>
    <row r="38" spans="1:12" x14ac:dyDescent="0.3">
      <c r="A38" s="17"/>
      <c r="B38" s="23"/>
      <c r="C38" s="23"/>
      <c r="D38" s="20" t="s">
        <v>219</v>
      </c>
      <c r="E38" s="20" t="s">
        <v>78</v>
      </c>
      <c r="F38" s="24" t="s">
        <v>71</v>
      </c>
      <c r="G38" s="23"/>
      <c r="H38" s="23"/>
      <c r="I38" s="25"/>
      <c r="J38" s="25"/>
      <c r="L38" t="str">
        <f t="shared" si="0"/>
        <v>172.30.38.254 255.255.255.192</v>
      </c>
    </row>
    <row r="39" spans="1:12" x14ac:dyDescent="0.3">
      <c r="A39" s="17"/>
      <c r="B39" s="23"/>
      <c r="C39" s="23"/>
      <c r="D39" s="20" t="s">
        <v>201</v>
      </c>
      <c r="E39" s="20" t="s">
        <v>45</v>
      </c>
      <c r="F39" s="24" t="s">
        <v>42</v>
      </c>
      <c r="G39" s="23"/>
      <c r="H39" s="23"/>
      <c r="I39" s="25"/>
      <c r="J39" s="25"/>
      <c r="L39" t="str">
        <f t="shared" si="0"/>
        <v>172.30.35.254 255.255.252.0</v>
      </c>
    </row>
    <row r="40" spans="1:12" x14ac:dyDescent="0.3">
      <c r="A40" s="17"/>
      <c r="B40" s="23"/>
      <c r="C40" s="23"/>
      <c r="D40" s="20" t="s">
        <v>215</v>
      </c>
      <c r="E40" s="20" t="s">
        <v>61</v>
      </c>
      <c r="F40" s="24" t="s">
        <v>48</v>
      </c>
      <c r="G40" s="23"/>
      <c r="H40" s="23"/>
      <c r="I40" s="25"/>
      <c r="J40" s="25"/>
      <c r="L40" t="str">
        <f t="shared" si="0"/>
        <v>172.30.37.126 255.255.255.128</v>
      </c>
    </row>
    <row r="41" spans="1:12" x14ac:dyDescent="0.3">
      <c r="A41" s="17"/>
      <c r="B41" s="23"/>
      <c r="C41" s="23"/>
      <c r="D41" s="20" t="s">
        <v>223</v>
      </c>
      <c r="E41" s="20" t="s">
        <v>94</v>
      </c>
      <c r="F41" s="20" t="s">
        <v>80</v>
      </c>
      <c r="G41" s="23"/>
      <c r="H41" s="23"/>
      <c r="I41" s="25"/>
      <c r="J41" s="25"/>
      <c r="L41" t="str">
        <f t="shared" si="0"/>
        <v>172.30.39.126 255.255.255.224</v>
      </c>
    </row>
    <row r="42" spans="1:12" x14ac:dyDescent="0.3">
      <c r="A42" s="17"/>
      <c r="B42" s="23"/>
      <c r="C42" s="23"/>
      <c r="D42" s="20" t="s">
        <v>224</v>
      </c>
      <c r="E42" s="20" t="s">
        <v>99</v>
      </c>
      <c r="F42" s="20" t="s">
        <v>80</v>
      </c>
      <c r="G42" s="23"/>
      <c r="H42" s="23"/>
      <c r="I42" s="25"/>
      <c r="J42" s="25"/>
      <c r="L42" t="str">
        <f t="shared" si="0"/>
        <v>172.30.39.158 255.255.255.224</v>
      </c>
    </row>
    <row r="43" spans="1:12" x14ac:dyDescent="0.3">
      <c r="A43" s="17"/>
      <c r="B43" s="23"/>
      <c r="C43" s="23"/>
      <c r="D43" s="20" t="s">
        <v>225</v>
      </c>
      <c r="E43" s="20" t="s">
        <v>103</v>
      </c>
      <c r="F43" s="20" t="s">
        <v>80</v>
      </c>
      <c r="G43" s="23"/>
      <c r="H43" s="23"/>
      <c r="I43" s="25"/>
      <c r="J43" s="25"/>
      <c r="L43" t="str">
        <f t="shared" si="0"/>
        <v>172.30.39.190 255.255.255.224</v>
      </c>
    </row>
    <row r="44" spans="1:12" x14ac:dyDescent="0.3">
      <c r="A44" s="17"/>
      <c r="B44" s="23"/>
      <c r="C44" s="23"/>
      <c r="D44" s="20" t="s">
        <v>216</v>
      </c>
      <c r="E44" s="20" t="s">
        <v>65</v>
      </c>
      <c r="F44" s="24" t="s">
        <v>48</v>
      </c>
      <c r="G44" s="23"/>
      <c r="H44" s="23"/>
      <c r="I44" s="25"/>
      <c r="J44" s="25"/>
      <c r="L44" t="str">
        <f t="shared" si="0"/>
        <v>172.30.37.254 255.255.255.128</v>
      </c>
    </row>
    <row r="45" spans="1:12" x14ac:dyDescent="0.3">
      <c r="A45" s="17"/>
      <c r="B45" s="23"/>
      <c r="C45" s="23"/>
      <c r="D45" s="20" t="s">
        <v>226</v>
      </c>
      <c r="E45" s="20" t="s">
        <v>107</v>
      </c>
      <c r="F45" s="20" t="s">
        <v>80</v>
      </c>
      <c r="G45" s="23"/>
      <c r="H45" s="23"/>
      <c r="I45" s="25"/>
      <c r="J45" s="25"/>
      <c r="L45" t="str">
        <f t="shared" si="0"/>
        <v>172.30.39.222 255.255.255.224</v>
      </c>
    </row>
    <row r="46" spans="1:12" x14ac:dyDescent="0.3">
      <c r="A46" s="17"/>
      <c r="B46" s="23"/>
      <c r="C46" s="23"/>
      <c r="D46" s="20" t="s">
        <v>227</v>
      </c>
      <c r="E46" s="20" t="s">
        <v>111</v>
      </c>
      <c r="F46" s="20" t="s">
        <v>80</v>
      </c>
      <c r="G46" s="23"/>
      <c r="H46" s="23"/>
      <c r="I46" s="25"/>
      <c r="J46" s="25"/>
      <c r="L46" t="str">
        <f t="shared" si="0"/>
        <v>172.30.39.254 255.255.255.224</v>
      </c>
    </row>
    <row r="47" spans="1:12" x14ac:dyDescent="0.3">
      <c r="A47" s="17"/>
      <c r="B47" s="23"/>
      <c r="C47" s="23"/>
      <c r="D47" s="20" t="s">
        <v>228</v>
      </c>
      <c r="E47" s="20" t="s">
        <v>114</v>
      </c>
      <c r="F47" s="20" t="s">
        <v>80</v>
      </c>
      <c r="G47" s="23"/>
      <c r="H47" s="23"/>
      <c r="I47" s="25"/>
      <c r="J47" s="25"/>
      <c r="L47" t="str">
        <f t="shared" si="0"/>
        <v>172.30.40.30 255.255.255.224</v>
      </c>
    </row>
    <row r="48" spans="1:12" x14ac:dyDescent="0.3">
      <c r="A48" s="17"/>
      <c r="B48" s="23"/>
      <c r="C48" s="23"/>
      <c r="D48" s="20" t="s">
        <v>218</v>
      </c>
      <c r="E48" s="20" t="s">
        <v>74</v>
      </c>
      <c r="F48" s="24" t="s">
        <v>71</v>
      </c>
      <c r="G48" s="23"/>
      <c r="H48" s="23"/>
      <c r="I48" s="25"/>
      <c r="J48" s="25"/>
      <c r="L48" t="str">
        <f t="shared" si="0"/>
        <v>172.30.38.190 255.255.255.192</v>
      </c>
    </row>
    <row r="49" spans="1:12" x14ac:dyDescent="0.3">
      <c r="A49" s="17"/>
      <c r="B49" s="23"/>
      <c r="C49" s="23"/>
      <c r="D49" s="20" t="s">
        <v>229</v>
      </c>
      <c r="E49" s="20" t="s">
        <v>120</v>
      </c>
      <c r="F49" s="20" t="s">
        <v>118</v>
      </c>
      <c r="G49" s="23"/>
      <c r="H49" s="23"/>
      <c r="I49" s="25"/>
      <c r="J49" s="25"/>
      <c r="L49" t="str">
        <f t="shared" si="0"/>
        <v>172.30.40.46 255.255.255.240</v>
      </c>
    </row>
    <row r="50" spans="1:12" x14ac:dyDescent="0.3">
      <c r="A50" s="17"/>
      <c r="B50" s="23"/>
      <c r="C50" s="23"/>
      <c r="D50" s="20" t="s">
        <v>230</v>
      </c>
      <c r="E50" s="20" t="s">
        <v>125</v>
      </c>
      <c r="F50" s="20" t="s">
        <v>118</v>
      </c>
      <c r="G50" s="23"/>
      <c r="H50" s="23"/>
      <c r="I50" s="25"/>
      <c r="J50" s="25"/>
      <c r="L50" t="str">
        <f t="shared" si="0"/>
        <v>172.30.40.62 255.255.255.240</v>
      </c>
    </row>
    <row r="51" spans="1:12" x14ac:dyDescent="0.3">
      <c r="A51" s="17"/>
      <c r="B51" s="23"/>
      <c r="C51" s="23"/>
      <c r="D51" s="20" t="s">
        <v>231</v>
      </c>
      <c r="E51" s="20" t="s">
        <v>130</v>
      </c>
      <c r="F51" s="20" t="s">
        <v>118</v>
      </c>
      <c r="G51" s="23"/>
      <c r="H51" s="23"/>
      <c r="I51" s="25"/>
      <c r="J51" s="25"/>
      <c r="L51" t="str">
        <f t="shared" si="0"/>
        <v>172.30.40.78 255.255.255.240</v>
      </c>
    </row>
    <row r="52" spans="1:12" x14ac:dyDescent="0.3">
      <c r="A52" s="17"/>
      <c r="B52" s="23"/>
      <c r="C52" s="23"/>
      <c r="D52" s="20" t="s">
        <v>217</v>
      </c>
      <c r="E52" s="20" t="s">
        <v>69</v>
      </c>
      <c r="F52" s="24" t="s">
        <v>48</v>
      </c>
      <c r="G52" s="23"/>
      <c r="H52" s="23"/>
      <c r="I52" s="25"/>
      <c r="J52" s="25"/>
      <c r="L52" t="str">
        <f t="shared" si="0"/>
        <v>172.30.38.126 255.255.255.128</v>
      </c>
    </row>
    <row r="53" spans="1:12" x14ac:dyDescent="0.3">
      <c r="A53" s="17"/>
      <c r="B53" s="18"/>
      <c r="C53" s="18"/>
      <c r="D53" s="9" t="s">
        <v>232</v>
      </c>
      <c r="E53" s="9" t="s">
        <v>133</v>
      </c>
      <c r="F53" s="9" t="s">
        <v>118</v>
      </c>
      <c r="G53" s="18"/>
      <c r="H53" s="18"/>
      <c r="I53" s="25"/>
      <c r="J53" s="25"/>
      <c r="L53" t="str">
        <f t="shared" si="0"/>
        <v>172.30.40.94 255.255.255.240</v>
      </c>
    </row>
    <row r="54" spans="1:12" x14ac:dyDescent="0.3">
      <c r="A54" s="17"/>
      <c r="B54" s="18"/>
      <c r="C54" s="18"/>
      <c r="D54" s="9" t="s">
        <v>233</v>
      </c>
      <c r="E54" s="9" t="s">
        <v>137</v>
      </c>
      <c r="F54" s="9" t="s">
        <v>118</v>
      </c>
      <c r="G54" s="18"/>
      <c r="H54" s="18"/>
      <c r="I54" s="25"/>
      <c r="J54" s="25"/>
      <c r="L54" t="str">
        <f t="shared" si="0"/>
        <v>172.30.40.110 255.255.255.240</v>
      </c>
    </row>
    <row r="55" spans="1:12" x14ac:dyDescent="0.3">
      <c r="A55" s="17"/>
      <c r="B55" s="18"/>
      <c r="C55" s="18"/>
      <c r="D55" s="9" t="s">
        <v>221</v>
      </c>
      <c r="E55" s="9" t="s">
        <v>87</v>
      </c>
      <c r="F55" s="9" t="s">
        <v>80</v>
      </c>
      <c r="G55" s="18"/>
      <c r="H55" s="18"/>
      <c r="I55" s="25"/>
      <c r="J55" s="25"/>
      <c r="L55" t="str">
        <f t="shared" si="0"/>
        <v>172.30.39.62 255.255.255.224</v>
      </c>
    </row>
    <row r="56" spans="1:12" x14ac:dyDescent="0.3">
      <c r="A56" s="16"/>
      <c r="B56" s="11" t="s">
        <v>149</v>
      </c>
      <c r="C56" s="11" t="s">
        <v>202</v>
      </c>
      <c r="D56" s="11" t="s">
        <v>203</v>
      </c>
      <c r="E56" s="11" t="s">
        <v>77</v>
      </c>
      <c r="F56" s="15" t="s">
        <v>71</v>
      </c>
      <c r="G56" s="11" t="s">
        <v>78</v>
      </c>
      <c r="H56" s="11">
        <v>7</v>
      </c>
      <c r="I56" s="25"/>
      <c r="J56" s="25"/>
      <c r="L56" t="str">
        <f t="shared" si="0"/>
        <v>172.30.38.193 255.255.255.192</v>
      </c>
    </row>
    <row r="57" spans="1:12" x14ac:dyDescent="0.3">
      <c r="A57" s="16"/>
      <c r="B57" s="11" t="s">
        <v>212</v>
      </c>
      <c r="C57" s="11" t="s">
        <v>204</v>
      </c>
      <c r="D57" s="11" t="s">
        <v>203</v>
      </c>
      <c r="E57" s="11" t="s">
        <v>205</v>
      </c>
      <c r="F57" s="15" t="s">
        <v>48</v>
      </c>
      <c r="G57" s="11" t="s">
        <v>55</v>
      </c>
      <c r="H57" s="11">
        <v>99</v>
      </c>
      <c r="I57" s="25"/>
      <c r="J57" s="25"/>
      <c r="L57" t="str">
        <f t="shared" si="0"/>
        <v>172.30.36.253 255.255.255.128</v>
      </c>
    </row>
    <row r="58" spans="1:12" x14ac:dyDescent="0.3">
      <c r="A58" s="16"/>
      <c r="B58" s="11" t="s">
        <v>207</v>
      </c>
      <c r="C58" s="11" t="s">
        <v>206</v>
      </c>
      <c r="D58" s="11" t="s">
        <v>203</v>
      </c>
      <c r="E58" s="11" t="s">
        <v>377</v>
      </c>
      <c r="F58" s="11"/>
      <c r="G58" s="11"/>
      <c r="H58" s="11"/>
      <c r="I58" s="25"/>
      <c r="J58" s="25"/>
      <c r="L58" t="e">
        <f>_xlfn.CONCAT(#REF!," ",F58)</f>
        <v>#REF!</v>
      </c>
    </row>
    <row r="59" spans="1:12" x14ac:dyDescent="0.3">
      <c r="A59" s="16"/>
      <c r="B59" s="11" t="s">
        <v>209</v>
      </c>
      <c r="C59" s="11" t="s">
        <v>208</v>
      </c>
      <c r="D59" s="11" t="s">
        <v>203</v>
      </c>
      <c r="E59" s="30" t="s">
        <v>378</v>
      </c>
      <c r="F59" s="12"/>
      <c r="G59" s="11"/>
      <c r="H59" s="11"/>
      <c r="I59" s="25"/>
      <c r="J59" s="25"/>
      <c r="L59" t="str">
        <f>_xlfn.CONCAT(E58," ",F59)</f>
        <v xml:space="preserve">DHCP </v>
      </c>
    </row>
    <row r="60" spans="1:12" x14ac:dyDescent="0.3">
      <c r="A60" s="16"/>
      <c r="B60" s="11" t="s">
        <v>210</v>
      </c>
      <c r="C60" s="11" t="s">
        <v>211</v>
      </c>
      <c r="D60" s="11" t="s">
        <v>203</v>
      </c>
      <c r="E60" s="11" t="s">
        <v>82</v>
      </c>
      <c r="F60" s="15">
        <v>255255255224</v>
      </c>
      <c r="G60" s="11" t="s">
        <v>83</v>
      </c>
      <c r="H60" s="11">
        <v>4</v>
      </c>
      <c r="I60" s="25"/>
      <c r="J60" s="25"/>
      <c r="L60" t="str">
        <f t="shared" si="0"/>
        <v>172.30.39.1 255255255224</v>
      </c>
    </row>
    <row r="61" spans="1:12" x14ac:dyDescent="0.3">
      <c r="A61" s="16"/>
      <c r="B61" s="11" t="s">
        <v>207</v>
      </c>
      <c r="C61" s="11" t="s">
        <v>234</v>
      </c>
      <c r="D61" s="11" t="s">
        <v>203</v>
      </c>
      <c r="E61" s="11" t="s">
        <v>213</v>
      </c>
      <c r="F61" s="11" t="s">
        <v>36</v>
      </c>
      <c r="G61" s="11" t="s">
        <v>39</v>
      </c>
      <c r="H61" s="11">
        <v>6</v>
      </c>
      <c r="I61" s="25"/>
      <c r="J61" s="25"/>
      <c r="L61" t="str">
        <f t="shared" si="0"/>
        <v>172.30.0.2 255.255.224.0</v>
      </c>
    </row>
    <row r="62" spans="1:12" x14ac:dyDescent="0.3">
      <c r="B62" s="11" t="s">
        <v>346</v>
      </c>
      <c r="C62" s="11" t="s">
        <v>347</v>
      </c>
      <c r="D62" s="11" t="s">
        <v>203</v>
      </c>
      <c r="E62" s="11" t="s">
        <v>90</v>
      </c>
      <c r="F62" s="12" t="s">
        <v>80</v>
      </c>
      <c r="G62" s="11" t="s">
        <v>89</v>
      </c>
      <c r="H62" s="11">
        <v>5</v>
      </c>
    </row>
    <row r="63" spans="1:12" x14ac:dyDescent="0.3">
      <c r="B63" s="11" t="s">
        <v>379</v>
      </c>
      <c r="C63" s="11" t="s">
        <v>376</v>
      </c>
      <c r="D63" s="11"/>
      <c r="E63" s="11"/>
      <c r="F63" s="11"/>
      <c r="G63" s="11"/>
      <c r="H63" s="11"/>
    </row>
  </sheetData>
  <sortState xmlns:xlrd2="http://schemas.microsoft.com/office/spreadsheetml/2017/richdata2" ref="C34:E55">
    <sortCondition ref="C34:C55"/>
  </sortState>
  <mergeCells count="3">
    <mergeCell ref="B2:D2"/>
    <mergeCell ref="B3:C3"/>
    <mergeCell ref="B24:C2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58BB-8271-4636-A434-B06BA3DC3497}">
  <dimension ref="A1:I12"/>
  <sheetViews>
    <sheetView workbookViewId="0">
      <selection activeCell="F12" activeCellId="1" sqref="D12 F12"/>
    </sheetView>
  </sheetViews>
  <sheetFormatPr baseColWidth="10" defaultRowHeight="14.4" x14ac:dyDescent="0.3"/>
  <cols>
    <col min="1" max="1" width="7.44140625" bestFit="1" customWidth="1"/>
    <col min="2" max="2" width="14.77734375" bestFit="1" customWidth="1"/>
    <col min="3" max="3" width="5.6640625" bestFit="1" customWidth="1"/>
    <col min="4" max="4" width="12.6640625" bestFit="1" customWidth="1"/>
    <col min="5" max="5" width="7.6640625" bestFit="1" customWidth="1"/>
    <col min="6" max="6" width="14.6640625" bestFit="1" customWidth="1"/>
    <col min="7" max="7" width="13" bestFit="1" customWidth="1"/>
    <col min="8" max="8" width="16.77734375" bestFit="1" customWidth="1"/>
    <col min="9" max="9" width="15.5546875" bestFit="1" customWidth="1"/>
  </cols>
  <sheetData>
    <row r="1" spans="1:9" x14ac:dyDescent="0.3">
      <c r="A1" s="2" t="s">
        <v>0</v>
      </c>
      <c r="B1" s="2" t="s">
        <v>1</v>
      </c>
      <c r="C1" s="3" t="s">
        <v>2</v>
      </c>
      <c r="D1" s="2" t="s">
        <v>28</v>
      </c>
      <c r="E1" s="2" t="s">
        <v>34</v>
      </c>
      <c r="F1" s="2" t="s">
        <v>29</v>
      </c>
      <c r="G1" s="2" t="s">
        <v>30</v>
      </c>
      <c r="H1" s="2" t="s">
        <v>31</v>
      </c>
      <c r="I1" s="2" t="s">
        <v>32</v>
      </c>
    </row>
    <row r="2" spans="1:9" x14ac:dyDescent="0.3">
      <c r="A2" s="2">
        <v>6</v>
      </c>
      <c r="B2" s="2" t="s">
        <v>6</v>
      </c>
      <c r="C2" s="3">
        <v>5000</v>
      </c>
      <c r="D2" s="2" t="s">
        <v>33</v>
      </c>
      <c r="E2" s="2" t="s">
        <v>35</v>
      </c>
      <c r="F2" s="5" t="s">
        <v>36</v>
      </c>
      <c r="G2" s="2" t="s">
        <v>37</v>
      </c>
      <c r="H2" s="2" t="s">
        <v>38</v>
      </c>
      <c r="I2" s="2" t="s">
        <v>39</v>
      </c>
    </row>
    <row r="3" spans="1:9" x14ac:dyDescent="0.3">
      <c r="A3" s="2">
        <v>8</v>
      </c>
      <c r="B3" s="2" t="s">
        <v>8</v>
      </c>
      <c r="C3" s="3">
        <v>700</v>
      </c>
      <c r="D3" s="2" t="s">
        <v>40</v>
      </c>
      <c r="E3" s="2" t="s">
        <v>41</v>
      </c>
      <c r="F3" s="5" t="s">
        <v>42</v>
      </c>
      <c r="G3" s="2" t="s">
        <v>43</v>
      </c>
      <c r="H3" s="2" t="s">
        <v>44</v>
      </c>
      <c r="I3" s="2" t="s">
        <v>45</v>
      </c>
    </row>
    <row r="4" spans="1:9" x14ac:dyDescent="0.3">
      <c r="A4" s="2">
        <v>3</v>
      </c>
      <c r="B4" s="2" t="s">
        <v>314</v>
      </c>
      <c r="C4" s="3">
        <v>100</v>
      </c>
      <c r="D4" s="2" t="s">
        <v>47</v>
      </c>
      <c r="E4" s="2" t="s">
        <v>46</v>
      </c>
      <c r="F4" s="5" t="s">
        <v>48</v>
      </c>
      <c r="G4" s="2" t="s">
        <v>49</v>
      </c>
      <c r="H4" s="2" t="s">
        <v>50</v>
      </c>
      <c r="I4" s="2" t="s">
        <v>51</v>
      </c>
    </row>
    <row r="6" spans="1:9" x14ac:dyDescent="0.3">
      <c r="A6" s="2">
        <v>21</v>
      </c>
      <c r="B6" s="2" t="s">
        <v>380</v>
      </c>
      <c r="C6" s="2">
        <v>100</v>
      </c>
      <c r="D6" s="2" t="s">
        <v>62</v>
      </c>
      <c r="E6" s="2" t="s">
        <v>46</v>
      </c>
      <c r="F6" s="5" t="s">
        <v>48</v>
      </c>
      <c r="G6" s="2" t="s">
        <v>63</v>
      </c>
      <c r="H6" s="2" t="s">
        <v>64</v>
      </c>
      <c r="I6" s="2" t="s">
        <v>65</v>
      </c>
    </row>
    <row r="8" spans="1:9" x14ac:dyDescent="0.3">
      <c r="A8" s="2">
        <v>31</v>
      </c>
      <c r="B8" s="2" t="s">
        <v>322</v>
      </c>
      <c r="C8" s="3">
        <v>60</v>
      </c>
      <c r="D8" s="2" t="s">
        <v>70</v>
      </c>
      <c r="E8" s="2" t="s">
        <v>57</v>
      </c>
      <c r="F8" s="5" t="s">
        <v>71</v>
      </c>
      <c r="G8" s="2" t="s">
        <v>72</v>
      </c>
      <c r="H8" s="2" t="s">
        <v>73</v>
      </c>
      <c r="I8" s="2" t="s">
        <v>74</v>
      </c>
    </row>
    <row r="10" spans="1:9" x14ac:dyDescent="0.3">
      <c r="A10" s="2">
        <v>41</v>
      </c>
      <c r="B10" s="2" t="s">
        <v>24</v>
      </c>
      <c r="C10" s="3">
        <v>100</v>
      </c>
      <c r="D10" s="2" t="s">
        <v>66</v>
      </c>
      <c r="E10" s="2" t="s">
        <v>46</v>
      </c>
      <c r="F10" s="5" t="s">
        <v>48</v>
      </c>
      <c r="G10" s="2" t="s">
        <v>67</v>
      </c>
      <c r="H10" s="2" t="s">
        <v>68</v>
      </c>
      <c r="I10" s="2" t="s">
        <v>69</v>
      </c>
    </row>
    <row r="12" spans="1:9" x14ac:dyDescent="0.3">
      <c r="A12" s="2">
        <v>11</v>
      </c>
      <c r="B12" s="2" t="s">
        <v>315</v>
      </c>
      <c r="C12" s="3">
        <v>100</v>
      </c>
      <c r="D12" s="2" t="s">
        <v>56</v>
      </c>
      <c r="E12" s="2" t="s">
        <v>46</v>
      </c>
      <c r="F12" s="5" t="s">
        <v>48</v>
      </c>
      <c r="G12" s="2" t="s">
        <v>59</v>
      </c>
      <c r="H12" s="2" t="s">
        <v>60</v>
      </c>
      <c r="I12" s="2" t="s">
        <v>61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154A-236B-49C6-AB81-E1B011A149CA}">
  <dimension ref="B1:F46"/>
  <sheetViews>
    <sheetView topLeftCell="A35" zoomScale="150" zoomScaleNormal="150" workbookViewId="0">
      <selection activeCell="B26" sqref="B26"/>
    </sheetView>
  </sheetViews>
  <sheetFormatPr baseColWidth="10" defaultRowHeight="14.4" x14ac:dyDescent="0.3"/>
  <cols>
    <col min="2" max="2" width="12.77734375" customWidth="1"/>
    <col min="3" max="3" width="12.21875" customWidth="1"/>
    <col min="4" max="4" width="11.6640625" customWidth="1"/>
    <col min="5" max="5" width="18.21875" bestFit="1" customWidth="1"/>
    <col min="6" max="6" width="16.6640625" bestFit="1" customWidth="1"/>
    <col min="8" max="8" width="12.44140625" customWidth="1"/>
    <col min="9" max="9" width="11.6640625" customWidth="1"/>
    <col min="10" max="10" width="14.33203125" customWidth="1"/>
    <col min="11" max="11" width="15" customWidth="1"/>
    <col min="12" max="12" width="13.77734375" customWidth="1"/>
  </cols>
  <sheetData>
    <row r="1" spans="2:6" x14ac:dyDescent="0.3">
      <c r="B1" s="25" t="s">
        <v>348</v>
      </c>
      <c r="C1" s="25" t="s">
        <v>349</v>
      </c>
      <c r="D1" s="25" t="s">
        <v>350</v>
      </c>
      <c r="E1" s="25" t="s">
        <v>352</v>
      </c>
      <c r="F1" s="25" t="s">
        <v>175</v>
      </c>
    </row>
    <row r="2" spans="2:6" x14ac:dyDescent="0.3">
      <c r="B2" s="25">
        <v>1</v>
      </c>
      <c r="C2" s="25" t="s">
        <v>351</v>
      </c>
      <c r="D2" s="25" t="s">
        <v>351</v>
      </c>
      <c r="E2" s="25" t="s">
        <v>156</v>
      </c>
      <c r="F2" s="25" t="s">
        <v>195</v>
      </c>
    </row>
    <row r="3" spans="2:6" x14ac:dyDescent="0.3">
      <c r="B3" s="25">
        <v>2</v>
      </c>
      <c r="C3" s="25" t="s">
        <v>353</v>
      </c>
      <c r="D3" s="25" t="s">
        <v>351</v>
      </c>
      <c r="E3" s="25" t="s">
        <v>354</v>
      </c>
      <c r="F3" s="25" t="s">
        <v>259</v>
      </c>
    </row>
    <row r="4" spans="2:6" x14ac:dyDescent="0.3">
      <c r="B4" s="25">
        <v>3</v>
      </c>
      <c r="C4" s="25" t="s">
        <v>355</v>
      </c>
      <c r="D4" s="25" t="s">
        <v>351</v>
      </c>
      <c r="E4" s="25" t="s">
        <v>356</v>
      </c>
      <c r="F4" s="25" t="s">
        <v>258</v>
      </c>
    </row>
    <row r="5" spans="2:6" x14ac:dyDescent="0.3">
      <c r="B5" s="25">
        <v>4</v>
      </c>
      <c r="C5" s="25" t="s">
        <v>357</v>
      </c>
      <c r="D5" s="25" t="s">
        <v>351</v>
      </c>
      <c r="E5" s="25" t="s">
        <v>158</v>
      </c>
      <c r="F5" s="25" t="s">
        <v>244</v>
      </c>
    </row>
    <row r="6" spans="2:6" x14ac:dyDescent="0.3">
      <c r="B6" s="25">
        <v>5</v>
      </c>
      <c r="C6" s="25" t="s">
        <v>358</v>
      </c>
      <c r="D6" s="25" t="s">
        <v>351</v>
      </c>
      <c r="E6" s="25" t="s">
        <v>359</v>
      </c>
      <c r="F6" s="25" t="s">
        <v>269</v>
      </c>
    </row>
    <row r="9" spans="2:6" x14ac:dyDescent="0.3">
      <c r="B9" t="s">
        <v>370</v>
      </c>
    </row>
    <row r="10" spans="2:6" x14ac:dyDescent="0.3">
      <c r="B10" s="25" t="s">
        <v>360</v>
      </c>
      <c r="C10" s="25" t="s">
        <v>350</v>
      </c>
      <c r="D10" s="25" t="s">
        <v>142</v>
      </c>
      <c r="E10" s="25" t="s">
        <v>363</v>
      </c>
      <c r="F10" s="25" t="s">
        <v>369</v>
      </c>
    </row>
    <row r="11" spans="2:6" x14ac:dyDescent="0.3">
      <c r="B11" s="25">
        <v>11</v>
      </c>
      <c r="C11" s="25" t="s">
        <v>362</v>
      </c>
      <c r="D11" s="25" t="s">
        <v>361</v>
      </c>
      <c r="E11" s="25" t="s">
        <v>181</v>
      </c>
      <c r="F11" s="25">
        <v>1</v>
      </c>
    </row>
    <row r="12" spans="2:6" x14ac:dyDescent="0.3">
      <c r="B12" s="25">
        <v>12</v>
      </c>
      <c r="C12" s="25" t="s">
        <v>364</v>
      </c>
      <c r="D12" s="25" t="s">
        <v>361</v>
      </c>
      <c r="E12" s="25" t="s">
        <v>183</v>
      </c>
      <c r="F12" s="25">
        <v>2</v>
      </c>
    </row>
    <row r="13" spans="2:6" x14ac:dyDescent="0.3">
      <c r="B13" s="25">
        <v>13</v>
      </c>
      <c r="C13" s="25" t="s">
        <v>365</v>
      </c>
      <c r="D13" s="25" t="s">
        <v>361</v>
      </c>
      <c r="E13" s="25" t="s">
        <v>185</v>
      </c>
      <c r="F13" s="25">
        <v>3</v>
      </c>
    </row>
    <row r="14" spans="2:6" x14ac:dyDescent="0.3">
      <c r="B14" s="25">
        <v>14</v>
      </c>
      <c r="C14" s="25" t="s">
        <v>366</v>
      </c>
      <c r="D14" s="25" t="s">
        <v>361</v>
      </c>
      <c r="E14" s="25" t="s">
        <v>192</v>
      </c>
      <c r="F14" s="25">
        <v>4</v>
      </c>
    </row>
    <row r="15" spans="2:6" x14ac:dyDescent="0.3">
      <c r="B15" s="25">
        <v>15</v>
      </c>
      <c r="C15" s="25" t="s">
        <v>367</v>
      </c>
      <c r="D15" s="25" t="s">
        <v>361</v>
      </c>
      <c r="E15" s="25" t="s">
        <v>189</v>
      </c>
      <c r="F15" s="25">
        <v>5</v>
      </c>
    </row>
    <row r="16" spans="2:6" x14ac:dyDescent="0.3">
      <c r="B16" s="25">
        <v>16</v>
      </c>
      <c r="C16" s="25" t="s">
        <v>368</v>
      </c>
      <c r="D16" s="25" t="s">
        <v>361</v>
      </c>
      <c r="E16" s="25" t="s">
        <v>193</v>
      </c>
      <c r="F16" s="25">
        <v>6</v>
      </c>
    </row>
    <row r="19" spans="2:6" x14ac:dyDescent="0.3">
      <c r="B19" t="s">
        <v>371</v>
      </c>
    </row>
    <row r="20" spans="2:6" x14ac:dyDescent="0.3">
      <c r="B20" s="25" t="s">
        <v>360</v>
      </c>
      <c r="C20" s="25" t="s">
        <v>350</v>
      </c>
      <c r="D20" s="25" t="s">
        <v>142</v>
      </c>
      <c r="E20" s="25" t="s">
        <v>363</v>
      </c>
      <c r="F20" s="25" t="s">
        <v>369</v>
      </c>
    </row>
    <row r="21" spans="2:6" x14ac:dyDescent="0.3">
      <c r="B21" s="25">
        <v>21</v>
      </c>
      <c r="C21" s="25" t="s">
        <v>362</v>
      </c>
      <c r="D21" s="25" t="s">
        <v>361</v>
      </c>
      <c r="E21" s="25" t="s">
        <v>245</v>
      </c>
      <c r="F21" s="25">
        <v>1</v>
      </c>
    </row>
    <row r="22" spans="2:6" x14ac:dyDescent="0.3">
      <c r="B22" s="25">
        <v>22</v>
      </c>
      <c r="C22" s="25" t="s">
        <v>364</v>
      </c>
      <c r="D22" s="25" t="s">
        <v>361</v>
      </c>
      <c r="E22" s="25" t="s">
        <v>247</v>
      </c>
      <c r="F22" s="25">
        <v>2</v>
      </c>
    </row>
    <row r="23" spans="2:6" x14ac:dyDescent="0.3">
      <c r="B23" s="25">
        <v>23</v>
      </c>
      <c r="C23" s="25" t="s">
        <v>365</v>
      </c>
      <c r="D23" s="25" t="s">
        <v>361</v>
      </c>
      <c r="E23" s="25" t="s">
        <v>246</v>
      </c>
      <c r="F23" s="25">
        <v>3</v>
      </c>
    </row>
    <row r="24" spans="2:6" x14ac:dyDescent="0.3">
      <c r="B24" s="25">
        <v>24</v>
      </c>
      <c r="C24" s="25" t="s">
        <v>366</v>
      </c>
      <c r="D24" s="25" t="s">
        <v>361</v>
      </c>
      <c r="E24" s="25" t="s">
        <v>248</v>
      </c>
      <c r="F24" s="25">
        <v>4</v>
      </c>
    </row>
    <row r="26" spans="2:6" x14ac:dyDescent="0.3">
      <c r="B26" t="s">
        <v>372</v>
      </c>
    </row>
    <row r="27" spans="2:6" x14ac:dyDescent="0.3">
      <c r="B27" s="25" t="s">
        <v>360</v>
      </c>
      <c r="C27" s="25" t="s">
        <v>350</v>
      </c>
      <c r="D27" s="25" t="s">
        <v>142</v>
      </c>
      <c r="E27" s="25" t="s">
        <v>363</v>
      </c>
      <c r="F27" s="25" t="s">
        <v>369</v>
      </c>
    </row>
    <row r="28" spans="2:6" x14ac:dyDescent="0.3">
      <c r="B28" s="25">
        <v>31</v>
      </c>
      <c r="C28" s="25" t="s">
        <v>362</v>
      </c>
      <c r="D28" s="25" t="s">
        <v>361</v>
      </c>
      <c r="E28" s="25" t="s">
        <v>254</v>
      </c>
      <c r="F28" s="25">
        <v>1</v>
      </c>
    </row>
    <row r="29" spans="2:6" x14ac:dyDescent="0.3">
      <c r="B29" s="25">
        <v>32</v>
      </c>
      <c r="C29" s="25" t="s">
        <v>364</v>
      </c>
      <c r="D29" s="25" t="s">
        <v>361</v>
      </c>
      <c r="E29" s="25" t="s">
        <v>255</v>
      </c>
      <c r="F29" s="25">
        <v>2</v>
      </c>
    </row>
    <row r="30" spans="2:6" x14ac:dyDescent="0.3">
      <c r="B30" s="25">
        <v>33</v>
      </c>
      <c r="C30" s="25" t="s">
        <v>365</v>
      </c>
      <c r="D30" s="25" t="s">
        <v>361</v>
      </c>
      <c r="E30" s="25" t="s">
        <v>246</v>
      </c>
      <c r="F30" s="25">
        <v>3</v>
      </c>
    </row>
    <row r="31" spans="2:6" x14ac:dyDescent="0.3">
      <c r="B31" s="25">
        <v>34</v>
      </c>
      <c r="C31" s="25" t="s">
        <v>366</v>
      </c>
      <c r="D31" s="25" t="s">
        <v>361</v>
      </c>
      <c r="E31" s="25" t="s">
        <v>248</v>
      </c>
      <c r="F31" s="25">
        <v>4</v>
      </c>
    </row>
    <row r="33" spans="2:6" x14ac:dyDescent="0.3">
      <c r="B33" t="s">
        <v>373</v>
      </c>
    </row>
    <row r="34" spans="2:6" x14ac:dyDescent="0.3">
      <c r="B34" s="25" t="s">
        <v>360</v>
      </c>
      <c r="C34" s="25" t="s">
        <v>350</v>
      </c>
      <c r="D34" s="25" t="s">
        <v>142</v>
      </c>
      <c r="E34" s="25" t="s">
        <v>363</v>
      </c>
      <c r="F34" s="25" t="s">
        <v>369</v>
      </c>
    </row>
    <row r="35" spans="2:6" x14ac:dyDescent="0.3">
      <c r="B35" s="25">
        <v>41</v>
      </c>
      <c r="C35" s="25" t="s">
        <v>362</v>
      </c>
      <c r="D35" s="25" t="s">
        <v>361</v>
      </c>
      <c r="E35" s="25" t="s">
        <v>245</v>
      </c>
      <c r="F35" s="25">
        <v>1</v>
      </c>
    </row>
    <row r="36" spans="2:6" x14ac:dyDescent="0.3">
      <c r="B36" s="25">
        <v>42</v>
      </c>
      <c r="C36" s="25" t="s">
        <v>364</v>
      </c>
      <c r="D36" s="25" t="s">
        <v>361</v>
      </c>
      <c r="E36" s="25" t="s">
        <v>247</v>
      </c>
      <c r="F36" s="25">
        <v>2</v>
      </c>
    </row>
    <row r="37" spans="2:6" x14ac:dyDescent="0.3">
      <c r="B37" s="25">
        <v>43</v>
      </c>
      <c r="C37" s="25" t="s">
        <v>365</v>
      </c>
      <c r="D37" s="25" t="s">
        <v>361</v>
      </c>
      <c r="E37" s="25" t="s">
        <v>246</v>
      </c>
      <c r="F37" s="25">
        <v>3</v>
      </c>
    </row>
    <row r="38" spans="2:6" x14ac:dyDescent="0.3">
      <c r="B38" s="25">
        <v>44</v>
      </c>
      <c r="C38" s="25" t="s">
        <v>366</v>
      </c>
      <c r="D38" s="25" t="s">
        <v>361</v>
      </c>
      <c r="E38" s="25" t="s">
        <v>248</v>
      </c>
      <c r="F38" s="25">
        <v>4</v>
      </c>
    </row>
    <row r="39" spans="2:6" x14ac:dyDescent="0.3">
      <c r="B39" s="25"/>
      <c r="C39" s="25"/>
      <c r="D39" s="25"/>
      <c r="E39" s="25"/>
      <c r="F39" s="25"/>
    </row>
    <row r="41" spans="2:6" x14ac:dyDescent="0.3">
      <c r="B41" t="s">
        <v>374</v>
      </c>
    </row>
    <row r="42" spans="2:6" x14ac:dyDescent="0.3">
      <c r="B42" s="31" t="s">
        <v>360</v>
      </c>
      <c r="C42" s="32" t="s">
        <v>350</v>
      </c>
      <c r="D42" s="32" t="s">
        <v>142</v>
      </c>
      <c r="E42" s="32" t="s">
        <v>363</v>
      </c>
      <c r="F42" s="33" t="s">
        <v>369</v>
      </c>
    </row>
    <row r="43" spans="2:6" x14ac:dyDescent="0.3">
      <c r="B43" s="34">
        <v>11</v>
      </c>
      <c r="C43" s="35" t="s">
        <v>362</v>
      </c>
      <c r="D43" s="35" t="s">
        <v>361</v>
      </c>
      <c r="E43" s="35" t="s">
        <v>245</v>
      </c>
      <c r="F43" s="36">
        <v>1</v>
      </c>
    </row>
    <row r="44" spans="2:6" x14ac:dyDescent="0.3">
      <c r="B44" s="37">
        <v>12</v>
      </c>
      <c r="C44" s="38" t="s">
        <v>364</v>
      </c>
      <c r="D44" s="38" t="s">
        <v>361</v>
      </c>
      <c r="E44" s="38" t="s">
        <v>247</v>
      </c>
      <c r="F44" s="39">
        <v>2</v>
      </c>
    </row>
    <row r="45" spans="2:6" x14ac:dyDescent="0.3">
      <c r="B45" s="34">
        <v>13</v>
      </c>
      <c r="C45" s="35" t="s">
        <v>365</v>
      </c>
      <c r="D45" s="35" t="s">
        <v>361</v>
      </c>
      <c r="E45" s="35" t="s">
        <v>246</v>
      </c>
      <c r="F45" s="36">
        <v>3</v>
      </c>
    </row>
    <row r="46" spans="2:6" x14ac:dyDescent="0.3">
      <c r="B46" s="37">
        <v>14</v>
      </c>
      <c r="C46" s="38" t="s">
        <v>366</v>
      </c>
      <c r="D46" s="38" t="s">
        <v>361</v>
      </c>
      <c r="E46" s="38" t="s">
        <v>248</v>
      </c>
      <c r="F46" s="39">
        <v>4</v>
      </c>
    </row>
  </sheetData>
  <phoneticPr fontId="1" type="noConversion"/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E6CB-72BD-48D2-94CB-D6F021CEB21A}">
  <dimension ref="B2:L32"/>
  <sheetViews>
    <sheetView tabSelected="1" topLeftCell="A15" zoomScale="95" workbookViewId="0">
      <selection activeCell="B22" sqref="B22:J26"/>
    </sheetView>
  </sheetViews>
  <sheetFormatPr baseColWidth="10" defaultRowHeight="14.4" x14ac:dyDescent="0.3"/>
  <cols>
    <col min="2" max="2" width="17" bestFit="1" customWidth="1"/>
    <col min="3" max="3" width="16.33203125" bestFit="1" customWidth="1"/>
    <col min="4" max="4" width="15.33203125" customWidth="1"/>
    <col min="5" max="5" width="22.109375" bestFit="1" customWidth="1"/>
    <col min="6" max="6" width="23.109375" customWidth="1"/>
    <col min="7" max="7" width="14.6640625" bestFit="1" customWidth="1"/>
    <col min="8" max="8" width="13.109375" bestFit="1" customWidth="1"/>
    <col min="9" max="9" width="16.77734375" bestFit="1" customWidth="1"/>
    <col min="10" max="10" width="15.44140625" bestFit="1" customWidth="1"/>
    <col min="12" max="12" width="27.6640625" bestFit="1" customWidth="1"/>
  </cols>
  <sheetData>
    <row r="2" spans="2:10" x14ac:dyDescent="0.3">
      <c r="B2" s="40" t="s">
        <v>10</v>
      </c>
      <c r="C2" s="40"/>
    </row>
    <row r="3" spans="2:10" x14ac:dyDescent="0.3">
      <c r="B3" s="13" t="s">
        <v>0</v>
      </c>
      <c r="C3" s="13" t="s">
        <v>1</v>
      </c>
      <c r="D3" s="14" t="s">
        <v>2</v>
      </c>
      <c r="E3" s="13" t="s">
        <v>28</v>
      </c>
      <c r="F3" s="13" t="s">
        <v>34</v>
      </c>
      <c r="G3" s="13" t="s">
        <v>29</v>
      </c>
      <c r="H3" s="13" t="s">
        <v>30</v>
      </c>
      <c r="I3" s="13" t="s">
        <v>31</v>
      </c>
      <c r="J3" s="13" t="s">
        <v>32</v>
      </c>
    </row>
    <row r="4" spans="2:10" x14ac:dyDescent="0.3">
      <c r="B4" s="2">
        <v>11</v>
      </c>
      <c r="C4" s="2" t="s">
        <v>11</v>
      </c>
      <c r="D4" s="3">
        <v>100</v>
      </c>
      <c r="E4" s="2" t="s">
        <v>56</v>
      </c>
      <c r="F4" s="2" t="s">
        <v>46</v>
      </c>
      <c r="G4" s="5" t="s">
        <v>48</v>
      </c>
      <c r="H4" s="2" t="s">
        <v>59</v>
      </c>
      <c r="I4" s="2" t="s">
        <v>60</v>
      </c>
      <c r="J4" s="2" t="s">
        <v>61</v>
      </c>
    </row>
    <row r="5" spans="2:10" x14ac:dyDescent="0.3">
      <c r="B5" s="2">
        <v>12</v>
      </c>
      <c r="C5" s="2" t="s">
        <v>12</v>
      </c>
      <c r="D5" s="3">
        <v>20</v>
      </c>
      <c r="E5" s="2" t="s">
        <v>92</v>
      </c>
      <c r="F5" s="2" t="s">
        <v>58</v>
      </c>
      <c r="G5" s="5" t="s">
        <v>80</v>
      </c>
      <c r="H5" s="2" t="s">
        <v>93</v>
      </c>
      <c r="I5" s="2" t="s">
        <v>95</v>
      </c>
      <c r="J5" s="2" t="s">
        <v>94</v>
      </c>
    </row>
    <row r="6" spans="2:10" x14ac:dyDescent="0.3">
      <c r="B6" s="2">
        <v>13</v>
      </c>
      <c r="C6" s="2" t="s">
        <v>13</v>
      </c>
      <c r="D6" s="3">
        <v>20</v>
      </c>
      <c r="E6" s="2" t="s">
        <v>96</v>
      </c>
      <c r="F6" s="2" t="s">
        <v>58</v>
      </c>
      <c r="G6" s="5" t="s">
        <v>80</v>
      </c>
      <c r="H6" s="2" t="s">
        <v>97</v>
      </c>
      <c r="I6" s="2" t="s">
        <v>98</v>
      </c>
      <c r="J6" s="2" t="s">
        <v>99</v>
      </c>
    </row>
    <row r="7" spans="2:10" x14ac:dyDescent="0.3">
      <c r="B7" s="2">
        <v>14</v>
      </c>
      <c r="C7" s="2" t="s">
        <v>14</v>
      </c>
      <c r="D7" s="3">
        <v>20</v>
      </c>
      <c r="E7" s="2" t="s">
        <v>100</v>
      </c>
      <c r="F7" s="2" t="s">
        <v>58</v>
      </c>
      <c r="G7" s="5" t="s">
        <v>80</v>
      </c>
      <c r="H7" s="2" t="s">
        <v>101</v>
      </c>
      <c r="I7" s="2" t="s">
        <v>102</v>
      </c>
      <c r="J7" s="2" t="s">
        <v>103</v>
      </c>
    </row>
    <row r="9" spans="2:10" x14ac:dyDescent="0.3">
      <c r="B9" s="13" t="s">
        <v>141</v>
      </c>
      <c r="C9" s="13" t="s">
        <v>143</v>
      </c>
      <c r="E9" s="13" t="s">
        <v>155</v>
      </c>
      <c r="F9" s="13" t="s">
        <v>143</v>
      </c>
      <c r="H9" s="13" t="s">
        <v>166</v>
      </c>
      <c r="I9" s="13" t="s">
        <v>143</v>
      </c>
    </row>
    <row r="10" spans="2:10" x14ac:dyDescent="0.3">
      <c r="B10" s="2" t="s">
        <v>142</v>
      </c>
      <c r="C10" s="2" t="s">
        <v>144</v>
      </c>
      <c r="E10" s="2" t="s">
        <v>156</v>
      </c>
      <c r="F10" s="2" t="s">
        <v>157</v>
      </c>
      <c r="H10" s="2" t="s">
        <v>167</v>
      </c>
      <c r="I10" s="2" t="s">
        <v>168</v>
      </c>
    </row>
    <row r="11" spans="2:10" x14ac:dyDescent="0.3">
      <c r="B11" s="2" t="s">
        <v>145</v>
      </c>
      <c r="C11" s="2" t="s">
        <v>146</v>
      </c>
      <c r="E11" s="2" t="s">
        <v>160</v>
      </c>
      <c r="F11" s="2" t="s">
        <v>161</v>
      </c>
      <c r="H11" s="2" t="s">
        <v>169</v>
      </c>
      <c r="I11" s="2" t="s">
        <v>170</v>
      </c>
    </row>
    <row r="12" spans="2:10" x14ac:dyDescent="0.3">
      <c r="B12" s="2" t="s">
        <v>147</v>
      </c>
      <c r="C12" s="2" t="s">
        <v>148</v>
      </c>
      <c r="E12" s="2" t="s">
        <v>158</v>
      </c>
      <c r="F12" s="2" t="s">
        <v>159</v>
      </c>
      <c r="H12" s="2" t="s">
        <v>171</v>
      </c>
      <c r="I12" s="2" t="s">
        <v>172</v>
      </c>
    </row>
    <row r="13" spans="2:10" x14ac:dyDescent="0.3">
      <c r="B13" s="2" t="s">
        <v>151</v>
      </c>
      <c r="C13" s="2" t="s">
        <v>150</v>
      </c>
      <c r="E13" s="2" t="s">
        <v>162</v>
      </c>
      <c r="F13" s="2" t="s">
        <v>163</v>
      </c>
    </row>
    <row r="14" spans="2:10" x14ac:dyDescent="0.3">
      <c r="B14" s="2" t="s">
        <v>152</v>
      </c>
      <c r="C14" s="2" t="s">
        <v>152</v>
      </c>
      <c r="E14" s="2" t="s">
        <v>164</v>
      </c>
      <c r="F14" s="2" t="s">
        <v>165</v>
      </c>
    </row>
    <row r="15" spans="2:10" x14ac:dyDescent="0.3">
      <c r="B15" s="2" t="s">
        <v>153</v>
      </c>
      <c r="C15" s="2" t="s">
        <v>154</v>
      </c>
      <c r="E15" s="1"/>
      <c r="F15" s="1"/>
    </row>
    <row r="16" spans="2:10" x14ac:dyDescent="0.3">
      <c r="B16" s="2" t="s">
        <v>276</v>
      </c>
      <c r="C16" s="2" t="s">
        <v>277</v>
      </c>
    </row>
    <row r="21" spans="2:12" x14ac:dyDescent="0.3">
      <c r="B21" s="41" t="s">
        <v>173</v>
      </c>
      <c r="C21" s="41"/>
    </row>
    <row r="22" spans="2:12" x14ac:dyDescent="0.3">
      <c r="B22" s="13" t="s">
        <v>174</v>
      </c>
      <c r="C22" s="13" t="s">
        <v>175</v>
      </c>
      <c r="D22" s="13" t="s">
        <v>176</v>
      </c>
      <c r="E22" s="13" t="s">
        <v>177</v>
      </c>
      <c r="F22" s="13" t="s">
        <v>138</v>
      </c>
      <c r="G22" s="13" t="s">
        <v>178</v>
      </c>
      <c r="H22" s="13" t="s">
        <v>179</v>
      </c>
      <c r="I22" s="19" t="s">
        <v>308</v>
      </c>
      <c r="J22" s="19" t="s">
        <v>309</v>
      </c>
    </row>
    <row r="23" spans="2:12" ht="28.8" x14ac:dyDescent="0.3">
      <c r="B23" s="9" t="s">
        <v>180</v>
      </c>
      <c r="C23" s="20" t="s">
        <v>265</v>
      </c>
      <c r="D23" s="20" t="s">
        <v>182</v>
      </c>
      <c r="E23" s="20" t="s">
        <v>239</v>
      </c>
      <c r="F23" s="21" t="s">
        <v>48</v>
      </c>
      <c r="G23" s="20" t="s">
        <v>55</v>
      </c>
      <c r="H23" s="20" t="s">
        <v>324</v>
      </c>
      <c r="I23" s="26" t="s">
        <v>328</v>
      </c>
      <c r="J23" s="20" t="s">
        <v>310</v>
      </c>
      <c r="L23" t="str">
        <f>_xlfn.CONCAT(E23," ",F23)</f>
        <v>172.30.36.136 255.255.255.128</v>
      </c>
    </row>
    <row r="24" spans="2:12" ht="28.8" x14ac:dyDescent="0.3">
      <c r="B24" s="9" t="s">
        <v>180</v>
      </c>
      <c r="C24" s="20" t="s">
        <v>266</v>
      </c>
      <c r="D24" s="20" t="s">
        <v>182</v>
      </c>
      <c r="E24" s="20" t="s">
        <v>240</v>
      </c>
      <c r="F24" s="21" t="s">
        <v>48</v>
      </c>
      <c r="G24" s="20" t="s">
        <v>55</v>
      </c>
      <c r="H24" s="20" t="s">
        <v>324</v>
      </c>
      <c r="I24" s="26" t="s">
        <v>328</v>
      </c>
      <c r="J24" s="20" t="s">
        <v>310</v>
      </c>
      <c r="L24" t="str">
        <f>_xlfn.CONCAT(E24," ",F24)</f>
        <v>172.30.36.137 255.255.255.128</v>
      </c>
    </row>
    <row r="25" spans="2:12" ht="43.2" x14ac:dyDescent="0.3">
      <c r="B25" s="9" t="s">
        <v>180</v>
      </c>
      <c r="C25" s="20" t="s">
        <v>267</v>
      </c>
      <c r="D25" s="20" t="s">
        <v>182</v>
      </c>
      <c r="E25" s="20" t="s">
        <v>241</v>
      </c>
      <c r="F25" s="21" t="s">
        <v>48</v>
      </c>
      <c r="G25" s="20" t="s">
        <v>55</v>
      </c>
      <c r="H25" s="20" t="s">
        <v>325</v>
      </c>
      <c r="I25" s="26" t="s">
        <v>329</v>
      </c>
      <c r="J25" s="20" t="s">
        <v>310</v>
      </c>
      <c r="L25" t="str">
        <f>_xlfn.CONCAT(E25," ",F25)</f>
        <v>172.30.36.138 255.255.255.128</v>
      </c>
    </row>
    <row r="26" spans="2:12" ht="43.2" x14ac:dyDescent="0.3">
      <c r="B26" s="9" t="s">
        <v>180</v>
      </c>
      <c r="C26" s="20" t="s">
        <v>268</v>
      </c>
      <c r="D26" s="20" t="s">
        <v>182</v>
      </c>
      <c r="E26" s="20" t="s">
        <v>242</v>
      </c>
      <c r="F26" s="21" t="s">
        <v>48</v>
      </c>
      <c r="G26" s="20" t="s">
        <v>55</v>
      </c>
      <c r="H26" s="20" t="s">
        <v>325</v>
      </c>
      <c r="I26" s="26" t="s">
        <v>329</v>
      </c>
      <c r="J26" s="20" t="s">
        <v>310</v>
      </c>
      <c r="L26" t="str">
        <f>_xlfn.CONCAT(E26," ",F26)</f>
        <v>172.30.36.139 255.255.255.128</v>
      </c>
    </row>
    <row r="27" spans="2:12" x14ac:dyDescent="0.3">
      <c r="B27" s="9" t="s">
        <v>180</v>
      </c>
      <c r="C27" s="20" t="s">
        <v>269</v>
      </c>
      <c r="D27" s="20" t="s">
        <v>182</v>
      </c>
      <c r="E27" s="20" t="s">
        <v>243</v>
      </c>
      <c r="F27" s="21" t="s">
        <v>48</v>
      </c>
      <c r="G27" s="20" t="s">
        <v>55</v>
      </c>
      <c r="H27" s="20" t="s">
        <v>326</v>
      </c>
      <c r="I27" s="22"/>
      <c r="J27" s="20" t="s">
        <v>312</v>
      </c>
      <c r="K27" t="s">
        <v>327</v>
      </c>
      <c r="L27" t="str">
        <f>_xlfn.CONCAT(E27," ",F27)</f>
        <v>172.30.36.140 255.255.255.128</v>
      </c>
    </row>
    <row r="28" spans="2:12" x14ac:dyDescent="0.3">
      <c r="B28" s="11" t="s">
        <v>278</v>
      </c>
      <c r="C28" s="27" t="s">
        <v>282</v>
      </c>
      <c r="D28" s="27" t="s">
        <v>203</v>
      </c>
      <c r="E28" s="27" t="s">
        <v>377</v>
      </c>
      <c r="F28" s="28"/>
      <c r="G28" s="27"/>
      <c r="H28" s="27"/>
      <c r="I28" s="22"/>
      <c r="J28" s="22"/>
    </row>
    <row r="29" spans="2:12" x14ac:dyDescent="0.3">
      <c r="B29" s="11" t="s">
        <v>279</v>
      </c>
      <c r="C29" s="27" t="s">
        <v>284</v>
      </c>
      <c r="D29" s="27" t="s">
        <v>203</v>
      </c>
      <c r="E29" s="27" t="s">
        <v>98</v>
      </c>
      <c r="F29" s="29" t="s">
        <v>80</v>
      </c>
      <c r="G29" s="27" t="s">
        <v>99</v>
      </c>
      <c r="H29" s="27">
        <v>13</v>
      </c>
      <c r="I29" s="22"/>
      <c r="J29" s="22"/>
    </row>
    <row r="30" spans="2:12" x14ac:dyDescent="0.3">
      <c r="B30" s="11" t="s">
        <v>280</v>
      </c>
      <c r="C30" s="27" t="s">
        <v>283</v>
      </c>
      <c r="D30" s="27" t="s">
        <v>203</v>
      </c>
      <c r="E30" s="27" t="s">
        <v>102</v>
      </c>
      <c r="F30" s="29" t="s">
        <v>80</v>
      </c>
      <c r="G30" s="27" t="s">
        <v>103</v>
      </c>
      <c r="H30" s="27">
        <v>14</v>
      </c>
      <c r="I30" s="22"/>
      <c r="J30" s="22"/>
    </row>
    <row r="31" spans="2:12" x14ac:dyDescent="0.3">
      <c r="B31" s="11" t="s">
        <v>281</v>
      </c>
      <c r="C31" s="27" t="s">
        <v>286</v>
      </c>
      <c r="D31" s="27" t="s">
        <v>203</v>
      </c>
      <c r="E31" s="27" t="s">
        <v>95</v>
      </c>
      <c r="F31" s="28" t="s">
        <v>80</v>
      </c>
      <c r="G31" s="27" t="s">
        <v>94</v>
      </c>
      <c r="H31" s="27">
        <v>12</v>
      </c>
      <c r="I31" s="22"/>
      <c r="J31" s="22"/>
    </row>
    <row r="32" spans="2:12" x14ac:dyDescent="0.3">
      <c r="B32" s="11" t="s">
        <v>281</v>
      </c>
      <c r="C32" s="27" t="s">
        <v>285</v>
      </c>
      <c r="D32" s="27" t="s">
        <v>203</v>
      </c>
      <c r="E32" s="27" t="s">
        <v>287</v>
      </c>
      <c r="F32" s="28" t="s">
        <v>80</v>
      </c>
      <c r="G32" s="27" t="s">
        <v>94</v>
      </c>
      <c r="H32" s="27">
        <v>12</v>
      </c>
      <c r="I32" s="22"/>
      <c r="J32" s="22"/>
    </row>
  </sheetData>
  <mergeCells count="2">
    <mergeCell ref="B2:C2"/>
    <mergeCell ref="B21:C2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63AB-15BD-4E5F-822B-86458883ABE5}">
  <dimension ref="B2:J33"/>
  <sheetViews>
    <sheetView topLeftCell="A23" zoomScale="138" workbookViewId="0">
      <selection activeCell="C34" sqref="C34"/>
    </sheetView>
  </sheetViews>
  <sheetFormatPr baseColWidth="10" defaultRowHeight="14.4" x14ac:dyDescent="0.3"/>
  <cols>
    <col min="2" max="2" width="16.77734375" bestFit="1" customWidth="1"/>
    <col min="3" max="3" width="15" bestFit="1" customWidth="1"/>
    <col min="5" max="5" width="22.109375" bestFit="1" customWidth="1"/>
    <col min="6" max="6" width="14.109375" customWidth="1"/>
    <col min="7" max="7" width="14.6640625" bestFit="1" customWidth="1"/>
    <col min="8" max="8" width="13" bestFit="1" customWidth="1"/>
    <col min="9" max="9" width="16.77734375" bestFit="1" customWidth="1"/>
    <col min="10" max="10" width="15.44140625" bestFit="1" customWidth="1"/>
  </cols>
  <sheetData>
    <row r="2" spans="2:10" x14ac:dyDescent="0.3">
      <c r="B2" s="40" t="s">
        <v>15</v>
      </c>
      <c r="C2" s="40"/>
    </row>
    <row r="3" spans="2:10" x14ac:dyDescent="0.3">
      <c r="B3" s="13" t="s">
        <v>0</v>
      </c>
      <c r="C3" s="13" t="s">
        <v>1</v>
      </c>
      <c r="D3" s="14" t="s">
        <v>2</v>
      </c>
      <c r="E3" s="13" t="s">
        <v>28</v>
      </c>
      <c r="F3" s="13" t="s">
        <v>34</v>
      </c>
      <c r="G3" s="13" t="s">
        <v>29</v>
      </c>
      <c r="H3" s="13" t="s">
        <v>30</v>
      </c>
      <c r="I3" s="13" t="s">
        <v>31</v>
      </c>
      <c r="J3" s="13" t="s">
        <v>32</v>
      </c>
    </row>
    <row r="4" spans="2:10" x14ac:dyDescent="0.3">
      <c r="B4" s="2">
        <v>21</v>
      </c>
      <c r="C4" s="2" t="s">
        <v>16</v>
      </c>
      <c r="D4" s="3">
        <v>100</v>
      </c>
      <c r="E4" s="2" t="s">
        <v>62</v>
      </c>
      <c r="F4" s="2" t="s">
        <v>46</v>
      </c>
      <c r="G4" s="5" t="s">
        <v>48</v>
      </c>
      <c r="H4" s="2" t="s">
        <v>63</v>
      </c>
      <c r="I4" s="2" t="s">
        <v>64</v>
      </c>
      <c r="J4" s="2" t="s">
        <v>65</v>
      </c>
    </row>
    <row r="5" spans="2:10" x14ac:dyDescent="0.3">
      <c r="B5" s="2">
        <v>22</v>
      </c>
      <c r="C5" s="2" t="s">
        <v>17</v>
      </c>
      <c r="D5" s="3">
        <v>20</v>
      </c>
      <c r="E5" s="2" t="s">
        <v>104</v>
      </c>
      <c r="F5" s="2" t="s">
        <v>58</v>
      </c>
      <c r="G5" s="5" t="s">
        <v>80</v>
      </c>
      <c r="H5" s="2" t="s">
        <v>105</v>
      </c>
      <c r="I5" s="2" t="s">
        <v>106</v>
      </c>
      <c r="J5" s="2" t="s">
        <v>107</v>
      </c>
    </row>
    <row r="6" spans="2:10" x14ac:dyDescent="0.3">
      <c r="B6" s="2">
        <v>23</v>
      </c>
      <c r="C6" s="2" t="s">
        <v>18</v>
      </c>
      <c r="D6" s="3">
        <v>20</v>
      </c>
      <c r="E6" s="2" t="s">
        <v>108</v>
      </c>
      <c r="F6" s="2" t="s">
        <v>58</v>
      </c>
      <c r="G6" s="2" t="s">
        <v>80</v>
      </c>
      <c r="H6" s="2" t="s">
        <v>109</v>
      </c>
      <c r="I6" s="2" t="s">
        <v>110</v>
      </c>
      <c r="J6" s="2" t="s">
        <v>111</v>
      </c>
    </row>
    <row r="7" spans="2:10" x14ac:dyDescent="0.3">
      <c r="B7" s="2">
        <v>24</v>
      </c>
      <c r="C7" s="2" t="s">
        <v>19</v>
      </c>
      <c r="D7" s="3">
        <v>20</v>
      </c>
      <c r="E7" s="2" t="s">
        <v>112</v>
      </c>
      <c r="F7" s="2" t="s">
        <v>58</v>
      </c>
      <c r="G7" s="2" t="s">
        <v>80</v>
      </c>
      <c r="H7" s="2" t="s">
        <v>113</v>
      </c>
      <c r="I7" s="2" t="s">
        <v>115</v>
      </c>
      <c r="J7" s="2" t="s">
        <v>114</v>
      </c>
    </row>
    <row r="9" spans="2:10" x14ac:dyDescent="0.3">
      <c r="B9" s="13" t="s">
        <v>141</v>
      </c>
      <c r="C9" s="13" t="s">
        <v>143</v>
      </c>
      <c r="E9" s="13" t="s">
        <v>155</v>
      </c>
      <c r="F9" s="13" t="s">
        <v>143</v>
      </c>
      <c r="H9" s="13" t="s">
        <v>166</v>
      </c>
      <c r="I9" s="13" t="s">
        <v>143</v>
      </c>
    </row>
    <row r="10" spans="2:10" x14ac:dyDescent="0.3">
      <c r="B10" s="2" t="s">
        <v>142</v>
      </c>
      <c r="C10" s="2" t="s">
        <v>144</v>
      </c>
      <c r="E10" s="2" t="s">
        <v>156</v>
      </c>
      <c r="F10" s="2" t="s">
        <v>157</v>
      </c>
      <c r="H10" s="2" t="s">
        <v>167</v>
      </c>
      <c r="I10" s="2" t="s">
        <v>168</v>
      </c>
    </row>
    <row r="11" spans="2:10" x14ac:dyDescent="0.3">
      <c r="B11" s="2" t="s">
        <v>145</v>
      </c>
      <c r="C11" s="2" t="s">
        <v>146</v>
      </c>
      <c r="E11" s="2" t="s">
        <v>160</v>
      </c>
      <c r="F11" s="2" t="s">
        <v>161</v>
      </c>
      <c r="H11" s="2" t="s">
        <v>169</v>
      </c>
      <c r="I11" s="2" t="s">
        <v>170</v>
      </c>
    </row>
    <row r="12" spans="2:10" x14ac:dyDescent="0.3">
      <c r="B12" s="2" t="s">
        <v>147</v>
      </c>
      <c r="C12" s="2" t="s">
        <v>148</v>
      </c>
      <c r="E12" s="2" t="s">
        <v>158</v>
      </c>
      <c r="F12" s="2" t="s">
        <v>159</v>
      </c>
      <c r="H12" s="2" t="s">
        <v>171</v>
      </c>
      <c r="I12" s="2" t="s">
        <v>172</v>
      </c>
    </row>
    <row r="13" spans="2:10" x14ac:dyDescent="0.3">
      <c r="B13" s="2" t="s">
        <v>151</v>
      </c>
      <c r="C13" s="2" t="s">
        <v>150</v>
      </c>
      <c r="E13" s="2" t="s">
        <v>162</v>
      </c>
      <c r="F13" s="2" t="s">
        <v>163</v>
      </c>
    </row>
    <row r="14" spans="2:10" x14ac:dyDescent="0.3">
      <c r="B14" s="2" t="s">
        <v>152</v>
      </c>
      <c r="C14" s="2" t="s">
        <v>152</v>
      </c>
      <c r="E14" s="2" t="s">
        <v>164</v>
      </c>
      <c r="F14" s="2" t="s">
        <v>165</v>
      </c>
    </row>
    <row r="15" spans="2:10" x14ac:dyDescent="0.3">
      <c r="B15" s="2" t="s">
        <v>153</v>
      </c>
      <c r="C15" s="2" t="s">
        <v>154</v>
      </c>
      <c r="E15" s="1"/>
      <c r="F15" s="1"/>
    </row>
    <row r="16" spans="2:10" x14ac:dyDescent="0.3">
      <c r="B16" s="2" t="s">
        <v>276</v>
      </c>
      <c r="C16" s="2" t="s">
        <v>277</v>
      </c>
    </row>
    <row r="21" spans="2:10" x14ac:dyDescent="0.3">
      <c r="B21" s="43" t="s">
        <v>173</v>
      </c>
      <c r="C21" s="43"/>
    </row>
    <row r="22" spans="2:10" x14ac:dyDescent="0.3">
      <c r="B22" s="13" t="s">
        <v>174</v>
      </c>
      <c r="C22" s="13" t="s">
        <v>175</v>
      </c>
      <c r="D22" s="13" t="s">
        <v>176</v>
      </c>
      <c r="E22" s="13" t="s">
        <v>177</v>
      </c>
      <c r="F22" s="13" t="s">
        <v>138</v>
      </c>
      <c r="G22" s="13" t="s">
        <v>178</v>
      </c>
      <c r="H22" s="13" t="s">
        <v>179</v>
      </c>
      <c r="I22" s="19" t="s">
        <v>308</v>
      </c>
      <c r="J22" s="19" t="s">
        <v>309</v>
      </c>
    </row>
    <row r="23" spans="2:10" ht="28.8" x14ac:dyDescent="0.3">
      <c r="B23" s="9" t="s">
        <v>180</v>
      </c>
      <c r="C23" s="9" t="s">
        <v>245</v>
      </c>
      <c r="D23" s="9" t="s">
        <v>182</v>
      </c>
      <c r="E23" s="9" t="s">
        <v>249</v>
      </c>
      <c r="F23" s="10" t="s">
        <v>48</v>
      </c>
      <c r="G23" s="9" t="s">
        <v>55</v>
      </c>
      <c r="H23" s="9" t="s">
        <v>336</v>
      </c>
      <c r="I23" s="26" t="s">
        <v>330</v>
      </c>
      <c r="J23" s="20" t="s">
        <v>310</v>
      </c>
    </row>
    <row r="24" spans="2:10" ht="28.8" x14ac:dyDescent="0.3">
      <c r="B24" s="9" t="s">
        <v>180</v>
      </c>
      <c r="C24" s="9" t="s">
        <v>247</v>
      </c>
      <c r="D24" s="9" t="s">
        <v>182</v>
      </c>
      <c r="E24" s="9" t="s">
        <v>250</v>
      </c>
      <c r="F24" s="10" t="s">
        <v>48</v>
      </c>
      <c r="G24" s="9" t="s">
        <v>55</v>
      </c>
      <c r="H24" s="9" t="s">
        <v>336</v>
      </c>
      <c r="I24" s="26" t="s">
        <v>330</v>
      </c>
      <c r="J24" s="20" t="s">
        <v>310</v>
      </c>
    </row>
    <row r="25" spans="2:10" ht="43.2" x14ac:dyDescent="0.3">
      <c r="B25" s="9" t="s">
        <v>180</v>
      </c>
      <c r="C25" s="9" t="s">
        <v>246</v>
      </c>
      <c r="D25" s="9" t="s">
        <v>182</v>
      </c>
      <c r="E25" s="9" t="s">
        <v>251</v>
      </c>
      <c r="F25" s="10" t="s">
        <v>48</v>
      </c>
      <c r="G25" s="9" t="s">
        <v>55</v>
      </c>
      <c r="H25" s="9" t="s">
        <v>337</v>
      </c>
      <c r="I25" s="26" t="s">
        <v>331</v>
      </c>
      <c r="J25" s="20" t="s">
        <v>310</v>
      </c>
    </row>
    <row r="26" spans="2:10" ht="43.2" x14ac:dyDescent="0.3">
      <c r="B26" s="9" t="s">
        <v>180</v>
      </c>
      <c r="C26" s="9" t="s">
        <v>248</v>
      </c>
      <c r="D26" s="9" t="s">
        <v>182</v>
      </c>
      <c r="E26" s="9" t="s">
        <v>252</v>
      </c>
      <c r="F26" s="10" t="s">
        <v>48</v>
      </c>
      <c r="G26" s="9" t="s">
        <v>55</v>
      </c>
      <c r="H26" s="9" t="s">
        <v>338</v>
      </c>
      <c r="I26" s="26" t="s">
        <v>331</v>
      </c>
      <c r="J26" s="20" t="s">
        <v>310</v>
      </c>
    </row>
    <row r="27" spans="2:10" x14ac:dyDescent="0.3">
      <c r="B27" s="9" t="s">
        <v>180</v>
      </c>
      <c r="C27" s="9" t="s">
        <v>259</v>
      </c>
      <c r="D27" s="9" t="s">
        <v>182</v>
      </c>
      <c r="E27" s="9" t="s">
        <v>253</v>
      </c>
      <c r="F27" s="10" t="s">
        <v>48</v>
      </c>
      <c r="G27" s="9" t="s">
        <v>55</v>
      </c>
      <c r="H27" s="9" t="s">
        <v>339</v>
      </c>
      <c r="I27" s="22"/>
      <c r="J27" s="20" t="s">
        <v>312</v>
      </c>
    </row>
    <row r="28" spans="2:10" x14ac:dyDescent="0.3">
      <c r="B28" s="11" t="s">
        <v>278</v>
      </c>
      <c r="C28" s="11" t="s">
        <v>288</v>
      </c>
      <c r="D28" s="11" t="s">
        <v>377</v>
      </c>
      <c r="E28" s="11"/>
      <c r="F28" s="15"/>
      <c r="G28" s="11"/>
      <c r="H28" s="11"/>
    </row>
    <row r="29" spans="2:10" x14ac:dyDescent="0.3">
      <c r="B29" s="11" t="s">
        <v>279</v>
      </c>
      <c r="C29" s="11" t="s">
        <v>289</v>
      </c>
      <c r="D29" s="11" t="s">
        <v>203</v>
      </c>
      <c r="E29" s="11" t="s">
        <v>110</v>
      </c>
      <c r="F29" s="12" t="s">
        <v>80</v>
      </c>
      <c r="G29" s="11" t="s">
        <v>111</v>
      </c>
      <c r="H29" s="11">
        <v>23</v>
      </c>
    </row>
    <row r="30" spans="2:10" x14ac:dyDescent="0.3">
      <c r="B30" s="11" t="s">
        <v>280</v>
      </c>
      <c r="C30" s="11" t="s">
        <v>290</v>
      </c>
      <c r="D30" s="11" t="s">
        <v>203</v>
      </c>
      <c r="E30" s="11" t="s">
        <v>115</v>
      </c>
      <c r="F30" s="12" t="s">
        <v>80</v>
      </c>
      <c r="G30" s="11" t="s">
        <v>114</v>
      </c>
      <c r="H30" s="11">
        <v>24</v>
      </c>
    </row>
    <row r="31" spans="2:10" x14ac:dyDescent="0.3">
      <c r="B31" s="11" t="s">
        <v>281</v>
      </c>
      <c r="C31" s="11" t="s">
        <v>291</v>
      </c>
      <c r="D31" s="11" t="s">
        <v>203</v>
      </c>
      <c r="E31" s="11" t="s">
        <v>106</v>
      </c>
      <c r="F31" s="15" t="s">
        <v>80</v>
      </c>
      <c r="G31" s="11" t="s">
        <v>107</v>
      </c>
      <c r="H31" s="11">
        <v>22</v>
      </c>
    </row>
    <row r="32" spans="2:10" x14ac:dyDescent="0.3">
      <c r="B32" s="11" t="s">
        <v>281</v>
      </c>
      <c r="C32" s="11" t="s">
        <v>292</v>
      </c>
      <c r="D32" s="11" t="s">
        <v>203</v>
      </c>
      <c r="E32" s="11" t="s">
        <v>293</v>
      </c>
      <c r="F32" s="15" t="s">
        <v>80</v>
      </c>
      <c r="G32" s="11" t="s">
        <v>107</v>
      </c>
      <c r="H32" s="11">
        <v>22</v>
      </c>
    </row>
    <row r="33" spans="2:3" x14ac:dyDescent="0.3">
      <c r="B33" s="30" t="s">
        <v>381</v>
      </c>
      <c r="C33" t="s">
        <v>382</v>
      </c>
    </row>
  </sheetData>
  <mergeCells count="2">
    <mergeCell ref="B2:C2"/>
    <mergeCell ref="B21:C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05F5-FFB7-4E28-B1C5-6532772EED90}">
  <dimension ref="B2:J32"/>
  <sheetViews>
    <sheetView topLeftCell="A23" zoomScale="121" workbookViewId="0">
      <selection activeCell="E35" sqref="E35"/>
    </sheetView>
  </sheetViews>
  <sheetFormatPr baseColWidth="10" defaultRowHeight="14.4" x14ac:dyDescent="0.3"/>
  <cols>
    <col min="2" max="2" width="16.77734375" bestFit="1" customWidth="1"/>
    <col min="3" max="3" width="16.109375" bestFit="1" customWidth="1"/>
    <col min="5" max="5" width="22.109375" bestFit="1" customWidth="1"/>
    <col min="6" max="6" width="15" customWidth="1"/>
    <col min="7" max="7" width="14.6640625" bestFit="1" customWidth="1"/>
    <col min="8" max="8" width="13" bestFit="1" customWidth="1"/>
    <col min="9" max="9" width="16.77734375" bestFit="1" customWidth="1"/>
    <col min="10" max="10" width="15.44140625" bestFit="1" customWidth="1"/>
  </cols>
  <sheetData>
    <row r="2" spans="2:10" x14ac:dyDescent="0.3">
      <c r="B2" s="43" t="s">
        <v>20</v>
      </c>
      <c r="C2" s="43"/>
    </row>
    <row r="3" spans="2:10" x14ac:dyDescent="0.3">
      <c r="B3" s="13" t="s">
        <v>0</v>
      </c>
      <c r="C3" s="13" t="s">
        <v>1</v>
      </c>
      <c r="D3" s="14" t="s">
        <v>2</v>
      </c>
      <c r="E3" s="13" t="s">
        <v>28</v>
      </c>
      <c r="F3" s="13" t="s">
        <v>34</v>
      </c>
      <c r="G3" s="13" t="s">
        <v>29</v>
      </c>
      <c r="H3" s="13" t="s">
        <v>30</v>
      </c>
      <c r="I3" s="13" t="s">
        <v>31</v>
      </c>
      <c r="J3" s="13" t="s">
        <v>32</v>
      </c>
    </row>
    <row r="4" spans="2:10" x14ac:dyDescent="0.3">
      <c r="B4" s="2">
        <v>31</v>
      </c>
      <c r="C4" s="2" t="s">
        <v>322</v>
      </c>
      <c r="D4" s="3">
        <v>60</v>
      </c>
      <c r="E4" s="2" t="s">
        <v>70</v>
      </c>
      <c r="F4" s="2" t="s">
        <v>57</v>
      </c>
      <c r="G4" s="5" t="s">
        <v>71</v>
      </c>
      <c r="H4" s="2" t="s">
        <v>72</v>
      </c>
      <c r="I4" s="2" t="s">
        <v>73</v>
      </c>
      <c r="J4" s="2" t="s">
        <v>74</v>
      </c>
    </row>
    <row r="5" spans="2:10" x14ac:dyDescent="0.3">
      <c r="B5" s="2">
        <v>32</v>
      </c>
      <c r="C5" s="2" t="s">
        <v>21</v>
      </c>
      <c r="D5" s="3">
        <v>10</v>
      </c>
      <c r="E5" s="2" t="s">
        <v>116</v>
      </c>
      <c r="F5" s="2" t="s">
        <v>117</v>
      </c>
      <c r="G5" s="2" t="s">
        <v>118</v>
      </c>
      <c r="H5" s="2" t="s">
        <v>119</v>
      </c>
      <c r="I5" s="2" t="s">
        <v>121</v>
      </c>
      <c r="J5" s="2" t="s">
        <v>120</v>
      </c>
    </row>
    <row r="6" spans="2:10" x14ac:dyDescent="0.3">
      <c r="B6" s="2">
        <v>33</v>
      </c>
      <c r="C6" s="2" t="s">
        <v>22</v>
      </c>
      <c r="D6" s="3">
        <v>10</v>
      </c>
      <c r="E6" s="2" t="s">
        <v>122</v>
      </c>
      <c r="F6" s="2" t="s">
        <v>117</v>
      </c>
      <c r="G6" s="2" t="s">
        <v>118</v>
      </c>
      <c r="H6" s="2" t="s">
        <v>123</v>
      </c>
      <c r="I6" s="2" t="s">
        <v>124</v>
      </c>
      <c r="J6" s="2" t="s">
        <v>125</v>
      </c>
    </row>
    <row r="7" spans="2:10" x14ac:dyDescent="0.3">
      <c r="B7" s="2">
        <v>34</v>
      </c>
      <c r="C7" s="2" t="s">
        <v>320</v>
      </c>
      <c r="D7" s="3">
        <v>10</v>
      </c>
      <c r="E7" s="2" t="s">
        <v>126</v>
      </c>
      <c r="F7" s="2" t="s">
        <v>117</v>
      </c>
      <c r="G7" s="2" t="s">
        <v>118</v>
      </c>
      <c r="H7" s="2" t="s">
        <v>128</v>
      </c>
      <c r="I7" s="2" t="s">
        <v>129</v>
      </c>
      <c r="J7" s="2" t="s">
        <v>130</v>
      </c>
    </row>
    <row r="9" spans="2:10" x14ac:dyDescent="0.3">
      <c r="B9" s="13" t="s">
        <v>141</v>
      </c>
      <c r="C9" s="13" t="s">
        <v>143</v>
      </c>
      <c r="E9" s="13" t="s">
        <v>155</v>
      </c>
      <c r="F9" s="13" t="s">
        <v>143</v>
      </c>
      <c r="H9" s="13" t="s">
        <v>166</v>
      </c>
      <c r="I9" s="13" t="s">
        <v>143</v>
      </c>
    </row>
    <row r="10" spans="2:10" x14ac:dyDescent="0.3">
      <c r="B10" s="2" t="s">
        <v>142</v>
      </c>
      <c r="C10" s="2" t="s">
        <v>144</v>
      </c>
      <c r="E10" s="2" t="s">
        <v>156</v>
      </c>
      <c r="F10" s="2" t="s">
        <v>157</v>
      </c>
      <c r="H10" s="2" t="s">
        <v>167</v>
      </c>
      <c r="I10" s="2" t="s">
        <v>168</v>
      </c>
    </row>
    <row r="11" spans="2:10" x14ac:dyDescent="0.3">
      <c r="B11" s="2" t="s">
        <v>145</v>
      </c>
      <c r="C11" s="2" t="s">
        <v>146</v>
      </c>
      <c r="E11" s="2" t="s">
        <v>160</v>
      </c>
      <c r="F11" s="2" t="s">
        <v>161</v>
      </c>
      <c r="H11" s="2" t="s">
        <v>169</v>
      </c>
      <c r="I11" s="2" t="s">
        <v>170</v>
      </c>
    </row>
    <row r="12" spans="2:10" x14ac:dyDescent="0.3">
      <c r="B12" s="2" t="s">
        <v>147</v>
      </c>
      <c r="C12" s="2" t="s">
        <v>148</v>
      </c>
      <c r="E12" s="2" t="s">
        <v>158</v>
      </c>
      <c r="F12" s="2" t="s">
        <v>159</v>
      </c>
      <c r="H12" s="2" t="s">
        <v>171</v>
      </c>
      <c r="I12" s="2" t="s">
        <v>172</v>
      </c>
    </row>
    <row r="13" spans="2:10" x14ac:dyDescent="0.3">
      <c r="B13" s="2" t="s">
        <v>151</v>
      </c>
      <c r="C13" s="2" t="s">
        <v>150</v>
      </c>
      <c r="E13" s="2" t="s">
        <v>162</v>
      </c>
      <c r="F13" s="2" t="s">
        <v>163</v>
      </c>
    </row>
    <row r="14" spans="2:10" x14ac:dyDescent="0.3">
      <c r="B14" s="2" t="s">
        <v>152</v>
      </c>
      <c r="C14" s="2" t="s">
        <v>152</v>
      </c>
      <c r="E14" s="2" t="s">
        <v>164</v>
      </c>
      <c r="F14" s="2" t="s">
        <v>165</v>
      </c>
    </row>
    <row r="15" spans="2:10" x14ac:dyDescent="0.3">
      <c r="B15" s="2" t="s">
        <v>153</v>
      </c>
      <c r="C15" s="2" t="s">
        <v>154</v>
      </c>
      <c r="E15" s="1"/>
      <c r="F15" s="1"/>
    </row>
    <row r="16" spans="2:10" x14ac:dyDescent="0.3">
      <c r="B16" s="2" t="s">
        <v>276</v>
      </c>
      <c r="C16" s="2" t="s">
        <v>277</v>
      </c>
    </row>
    <row r="21" spans="2:10" x14ac:dyDescent="0.3">
      <c r="B21" s="41" t="s">
        <v>173</v>
      </c>
      <c r="C21" s="41"/>
    </row>
    <row r="22" spans="2:10" x14ac:dyDescent="0.3">
      <c r="B22" s="13" t="s">
        <v>174</v>
      </c>
      <c r="C22" s="13" t="s">
        <v>175</v>
      </c>
      <c r="D22" s="13" t="s">
        <v>176</v>
      </c>
      <c r="E22" s="13" t="s">
        <v>177</v>
      </c>
      <c r="F22" s="13" t="s">
        <v>138</v>
      </c>
      <c r="G22" s="13" t="s">
        <v>178</v>
      </c>
      <c r="H22" s="13" t="s">
        <v>179</v>
      </c>
      <c r="I22" s="19" t="s">
        <v>308</v>
      </c>
      <c r="J22" s="19" t="s">
        <v>309</v>
      </c>
    </row>
    <row r="23" spans="2:10" ht="28.8" x14ac:dyDescent="0.3">
      <c r="B23" s="9" t="s">
        <v>180</v>
      </c>
      <c r="C23" s="9" t="s">
        <v>254</v>
      </c>
      <c r="D23" s="9" t="s">
        <v>182</v>
      </c>
      <c r="E23" s="9" t="s">
        <v>260</v>
      </c>
      <c r="F23" s="10" t="s">
        <v>48</v>
      </c>
      <c r="G23" s="9" t="s">
        <v>55</v>
      </c>
      <c r="H23" s="9" t="s">
        <v>340</v>
      </c>
      <c r="I23" s="26" t="s">
        <v>332</v>
      </c>
      <c r="J23" s="20" t="s">
        <v>310</v>
      </c>
    </row>
    <row r="24" spans="2:10" ht="28.8" x14ac:dyDescent="0.3">
      <c r="B24" s="9" t="s">
        <v>180</v>
      </c>
      <c r="C24" s="9" t="s">
        <v>255</v>
      </c>
      <c r="D24" s="9" t="s">
        <v>182</v>
      </c>
      <c r="E24" s="9" t="s">
        <v>261</v>
      </c>
      <c r="F24" s="10" t="s">
        <v>48</v>
      </c>
      <c r="G24" s="9" t="s">
        <v>55</v>
      </c>
      <c r="H24" s="9" t="s">
        <v>340</v>
      </c>
      <c r="I24" s="26" t="s">
        <v>332</v>
      </c>
      <c r="J24" s="20" t="s">
        <v>310</v>
      </c>
    </row>
    <row r="25" spans="2:10" ht="43.2" x14ac:dyDescent="0.3">
      <c r="B25" s="9" t="s">
        <v>180</v>
      </c>
      <c r="C25" s="9" t="s">
        <v>256</v>
      </c>
      <c r="D25" s="9" t="s">
        <v>182</v>
      </c>
      <c r="E25" s="9" t="s">
        <v>262</v>
      </c>
      <c r="F25" s="10" t="s">
        <v>48</v>
      </c>
      <c r="G25" s="9" t="s">
        <v>55</v>
      </c>
      <c r="H25" s="9" t="s">
        <v>341</v>
      </c>
      <c r="I25" s="26" t="s">
        <v>333</v>
      </c>
      <c r="J25" s="20" t="s">
        <v>310</v>
      </c>
    </row>
    <row r="26" spans="2:10" ht="43.2" x14ac:dyDescent="0.3">
      <c r="B26" s="9" t="s">
        <v>180</v>
      </c>
      <c r="C26" s="9" t="s">
        <v>257</v>
      </c>
      <c r="D26" s="9" t="s">
        <v>182</v>
      </c>
      <c r="E26" s="9" t="s">
        <v>263</v>
      </c>
      <c r="F26" s="10" t="s">
        <v>48</v>
      </c>
      <c r="G26" s="9" t="s">
        <v>55</v>
      </c>
      <c r="H26" s="9" t="s">
        <v>341</v>
      </c>
      <c r="I26" s="26" t="s">
        <v>333</v>
      </c>
      <c r="J26" s="20" t="s">
        <v>310</v>
      </c>
    </row>
    <row r="27" spans="2:10" x14ac:dyDescent="0.3">
      <c r="B27" s="9" t="s">
        <v>180</v>
      </c>
      <c r="C27" s="9" t="s">
        <v>258</v>
      </c>
      <c r="D27" s="9" t="s">
        <v>182</v>
      </c>
      <c r="E27" s="9" t="s">
        <v>264</v>
      </c>
      <c r="F27" s="10" t="s">
        <v>48</v>
      </c>
      <c r="G27" s="9" t="s">
        <v>55</v>
      </c>
      <c r="H27" s="9" t="s">
        <v>342</v>
      </c>
      <c r="I27" s="22"/>
      <c r="J27" s="20" t="s">
        <v>312</v>
      </c>
    </row>
    <row r="28" spans="2:10" x14ac:dyDescent="0.3">
      <c r="B28" s="11" t="s">
        <v>278</v>
      </c>
      <c r="C28" s="11" t="s">
        <v>294</v>
      </c>
      <c r="D28" s="11" t="s">
        <v>377</v>
      </c>
      <c r="E28" s="11"/>
      <c r="F28" s="12"/>
      <c r="G28" s="11"/>
      <c r="H28" s="11"/>
    </row>
    <row r="29" spans="2:10" x14ac:dyDescent="0.3">
      <c r="B29" s="11" t="s">
        <v>279</v>
      </c>
      <c r="C29" s="11" t="s">
        <v>295</v>
      </c>
      <c r="D29" s="11" t="s">
        <v>203</v>
      </c>
      <c r="E29" s="11" t="s">
        <v>124</v>
      </c>
      <c r="F29" s="11" t="s">
        <v>118</v>
      </c>
      <c r="G29" s="11" t="s">
        <v>125</v>
      </c>
      <c r="H29" s="11">
        <v>33</v>
      </c>
    </row>
    <row r="30" spans="2:10" x14ac:dyDescent="0.3">
      <c r="B30" s="11" t="s">
        <v>280</v>
      </c>
      <c r="C30" s="11" t="s">
        <v>296</v>
      </c>
      <c r="D30" s="11" t="s">
        <v>203</v>
      </c>
      <c r="E30" s="11" t="s">
        <v>129</v>
      </c>
      <c r="F30" s="11" t="s">
        <v>118</v>
      </c>
      <c r="G30" s="11" t="s">
        <v>130</v>
      </c>
      <c r="H30" s="11">
        <v>34</v>
      </c>
    </row>
    <row r="31" spans="2:10" x14ac:dyDescent="0.3">
      <c r="B31" s="11" t="s">
        <v>281</v>
      </c>
      <c r="C31" s="11" t="s">
        <v>297</v>
      </c>
      <c r="D31" s="11" t="s">
        <v>203</v>
      </c>
      <c r="E31" s="11" t="s">
        <v>121</v>
      </c>
      <c r="F31" s="11" t="s">
        <v>118</v>
      </c>
      <c r="G31" s="11" t="s">
        <v>120</v>
      </c>
      <c r="H31" s="11">
        <v>32</v>
      </c>
    </row>
    <row r="32" spans="2:10" x14ac:dyDescent="0.3">
      <c r="B32" s="11" t="s">
        <v>281</v>
      </c>
      <c r="C32" s="11" t="s">
        <v>298</v>
      </c>
      <c r="D32" s="11" t="s">
        <v>203</v>
      </c>
      <c r="E32" s="11" t="s">
        <v>299</v>
      </c>
      <c r="F32" s="11" t="s">
        <v>118</v>
      </c>
      <c r="G32" s="11" t="s">
        <v>120</v>
      </c>
      <c r="H32" s="11">
        <v>32</v>
      </c>
    </row>
  </sheetData>
  <mergeCells count="2">
    <mergeCell ref="B2:C2"/>
    <mergeCell ref="B21:C2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E230D-788C-47CF-9FDA-B4DEB1C4C18F}">
  <dimension ref="B2:J32"/>
  <sheetViews>
    <sheetView topLeftCell="A16" zoomScale="92" workbookViewId="0">
      <selection activeCell="J32" sqref="J32"/>
    </sheetView>
  </sheetViews>
  <sheetFormatPr baseColWidth="10" defaultRowHeight="14.4" x14ac:dyDescent="0.3"/>
  <cols>
    <col min="2" max="2" width="16.77734375" bestFit="1" customWidth="1"/>
    <col min="3" max="3" width="14.44140625" customWidth="1"/>
    <col min="5" max="5" width="22.109375" bestFit="1" customWidth="1"/>
    <col min="6" max="6" width="16.44140625" customWidth="1"/>
    <col min="7" max="7" width="14.6640625" bestFit="1" customWidth="1"/>
    <col min="8" max="8" width="13" bestFit="1" customWidth="1"/>
    <col min="9" max="9" width="16.77734375" bestFit="1" customWidth="1"/>
    <col min="10" max="10" width="15.44140625" bestFit="1" customWidth="1"/>
  </cols>
  <sheetData>
    <row r="2" spans="2:10" x14ac:dyDescent="0.3">
      <c r="B2" s="43" t="s">
        <v>270</v>
      </c>
      <c r="C2" s="43"/>
    </row>
    <row r="3" spans="2:10" x14ac:dyDescent="0.3">
      <c r="B3" s="13" t="s">
        <v>0</v>
      </c>
      <c r="C3" s="13" t="s">
        <v>1</v>
      </c>
      <c r="D3" s="14" t="s">
        <v>2</v>
      </c>
      <c r="E3" s="13" t="s">
        <v>28</v>
      </c>
      <c r="F3" s="13" t="s">
        <v>34</v>
      </c>
      <c r="G3" s="13" t="s">
        <v>29</v>
      </c>
      <c r="H3" s="13" t="s">
        <v>30</v>
      </c>
      <c r="I3" s="13" t="s">
        <v>31</v>
      </c>
      <c r="J3" s="13" t="s">
        <v>32</v>
      </c>
    </row>
    <row r="4" spans="2:10" x14ac:dyDescent="0.3">
      <c r="B4" s="2">
        <v>41</v>
      </c>
      <c r="C4" s="2" t="s">
        <v>24</v>
      </c>
      <c r="D4" s="3">
        <v>100</v>
      </c>
      <c r="E4" s="2" t="s">
        <v>66</v>
      </c>
      <c r="F4" s="2" t="s">
        <v>46</v>
      </c>
      <c r="G4" s="5" t="s">
        <v>48</v>
      </c>
      <c r="H4" s="2" t="s">
        <v>67</v>
      </c>
      <c r="I4" s="2" t="s">
        <v>68</v>
      </c>
      <c r="J4" s="2" t="s">
        <v>69</v>
      </c>
    </row>
    <row r="5" spans="2:10" x14ac:dyDescent="0.3">
      <c r="B5" s="2">
        <v>42</v>
      </c>
      <c r="C5" s="2" t="s">
        <v>25</v>
      </c>
      <c r="D5" s="3">
        <v>10</v>
      </c>
      <c r="E5" s="2" t="s">
        <v>127</v>
      </c>
      <c r="F5" s="2" t="s">
        <v>117</v>
      </c>
      <c r="G5" s="2" t="s">
        <v>118</v>
      </c>
      <c r="H5" s="2" t="s">
        <v>131</v>
      </c>
      <c r="I5" s="2" t="s">
        <v>132</v>
      </c>
      <c r="J5" s="2" t="s">
        <v>133</v>
      </c>
    </row>
    <row r="6" spans="2:10" x14ac:dyDescent="0.3">
      <c r="B6" s="2">
        <v>43</v>
      </c>
      <c r="C6" s="2" t="s">
        <v>26</v>
      </c>
      <c r="D6" s="3">
        <v>10</v>
      </c>
      <c r="E6" s="2" t="s">
        <v>134</v>
      </c>
      <c r="F6" s="2" t="s">
        <v>117</v>
      </c>
      <c r="G6" s="2" t="s">
        <v>118</v>
      </c>
      <c r="H6" s="2" t="s">
        <v>135</v>
      </c>
      <c r="I6" s="2" t="s">
        <v>136</v>
      </c>
      <c r="J6" s="2" t="s">
        <v>137</v>
      </c>
    </row>
    <row r="7" spans="2:10" x14ac:dyDescent="0.3">
      <c r="B7" s="2">
        <v>44</v>
      </c>
      <c r="C7" s="2" t="s">
        <v>27</v>
      </c>
      <c r="D7" s="3">
        <v>25</v>
      </c>
      <c r="E7" s="2" t="s">
        <v>84</v>
      </c>
      <c r="F7" s="2" t="s">
        <v>58</v>
      </c>
      <c r="G7" s="5" t="s">
        <v>80</v>
      </c>
      <c r="H7" s="2" t="s">
        <v>85</v>
      </c>
      <c r="I7" s="2" t="s">
        <v>86</v>
      </c>
      <c r="J7" s="2" t="s">
        <v>87</v>
      </c>
    </row>
    <row r="9" spans="2:10" x14ac:dyDescent="0.3">
      <c r="B9" s="13" t="s">
        <v>141</v>
      </c>
      <c r="C9" s="13" t="s">
        <v>143</v>
      </c>
      <c r="E9" s="13" t="s">
        <v>155</v>
      </c>
      <c r="F9" s="13" t="s">
        <v>143</v>
      </c>
      <c r="H9" s="13" t="s">
        <v>166</v>
      </c>
      <c r="I9" s="13" t="s">
        <v>143</v>
      </c>
    </row>
    <row r="10" spans="2:10" x14ac:dyDescent="0.3">
      <c r="B10" s="2" t="s">
        <v>142</v>
      </c>
      <c r="C10" s="2" t="s">
        <v>144</v>
      </c>
      <c r="E10" s="2" t="s">
        <v>156</v>
      </c>
      <c r="F10" s="2" t="s">
        <v>157</v>
      </c>
      <c r="H10" s="2" t="s">
        <v>167</v>
      </c>
      <c r="I10" s="2" t="s">
        <v>168</v>
      </c>
    </row>
    <row r="11" spans="2:10" x14ac:dyDescent="0.3">
      <c r="B11" s="2" t="s">
        <v>145</v>
      </c>
      <c r="C11" s="2" t="s">
        <v>146</v>
      </c>
      <c r="E11" s="2" t="s">
        <v>160</v>
      </c>
      <c r="F11" s="2" t="s">
        <v>161</v>
      </c>
      <c r="H11" s="2" t="s">
        <v>169</v>
      </c>
      <c r="I11" s="2" t="s">
        <v>170</v>
      </c>
    </row>
    <row r="12" spans="2:10" x14ac:dyDescent="0.3">
      <c r="B12" s="2" t="s">
        <v>147</v>
      </c>
      <c r="C12" s="2" t="s">
        <v>148</v>
      </c>
      <c r="E12" s="2" t="s">
        <v>158</v>
      </c>
      <c r="F12" s="2" t="s">
        <v>159</v>
      </c>
      <c r="H12" s="2" t="s">
        <v>171</v>
      </c>
      <c r="I12" s="2" t="s">
        <v>172</v>
      </c>
    </row>
    <row r="13" spans="2:10" x14ac:dyDescent="0.3">
      <c r="B13" s="2" t="s">
        <v>151</v>
      </c>
      <c r="C13" s="2" t="s">
        <v>150</v>
      </c>
      <c r="E13" s="2" t="s">
        <v>162</v>
      </c>
      <c r="F13" s="2" t="s">
        <v>163</v>
      </c>
    </row>
    <row r="14" spans="2:10" x14ac:dyDescent="0.3">
      <c r="B14" s="2" t="s">
        <v>152</v>
      </c>
      <c r="C14" s="2" t="s">
        <v>152</v>
      </c>
      <c r="E14" s="2" t="s">
        <v>164</v>
      </c>
      <c r="F14" s="2" t="s">
        <v>165</v>
      </c>
    </row>
    <row r="15" spans="2:10" x14ac:dyDescent="0.3">
      <c r="B15" s="2" t="s">
        <v>153</v>
      </c>
      <c r="C15" s="2" t="s">
        <v>154</v>
      </c>
      <c r="E15" s="1"/>
      <c r="F15" s="1"/>
    </row>
    <row r="16" spans="2:10" x14ac:dyDescent="0.3">
      <c r="B16" s="2" t="s">
        <v>276</v>
      </c>
      <c r="C16" s="2" t="s">
        <v>277</v>
      </c>
    </row>
    <row r="21" spans="2:10" x14ac:dyDescent="0.3">
      <c r="B21" s="43" t="s">
        <v>173</v>
      </c>
      <c r="C21" s="43"/>
    </row>
    <row r="22" spans="2:10" x14ac:dyDescent="0.3">
      <c r="B22" s="13" t="s">
        <v>174</v>
      </c>
      <c r="C22" s="13" t="s">
        <v>175</v>
      </c>
      <c r="D22" s="13" t="s">
        <v>176</v>
      </c>
      <c r="E22" s="13" t="s">
        <v>177</v>
      </c>
      <c r="F22" s="13" t="s">
        <v>138</v>
      </c>
      <c r="G22" s="13" t="s">
        <v>178</v>
      </c>
      <c r="H22" s="13" t="s">
        <v>179</v>
      </c>
      <c r="I22" s="19" t="s">
        <v>308</v>
      </c>
      <c r="J22" s="19" t="s">
        <v>309</v>
      </c>
    </row>
    <row r="23" spans="2:10" ht="28.8" x14ac:dyDescent="0.3">
      <c r="B23" s="9" t="s">
        <v>180</v>
      </c>
      <c r="C23" s="9" t="s">
        <v>235</v>
      </c>
      <c r="D23" s="9" t="s">
        <v>182</v>
      </c>
      <c r="E23" s="9" t="s">
        <v>271</v>
      </c>
      <c r="F23" s="10" t="s">
        <v>48</v>
      </c>
      <c r="G23" s="9" t="s">
        <v>55</v>
      </c>
      <c r="H23" s="9" t="s">
        <v>343</v>
      </c>
      <c r="I23" s="26" t="s">
        <v>334</v>
      </c>
      <c r="J23" s="20" t="s">
        <v>310</v>
      </c>
    </row>
    <row r="24" spans="2:10" ht="28.8" x14ac:dyDescent="0.3">
      <c r="B24" s="9" t="s">
        <v>180</v>
      </c>
      <c r="C24" s="9" t="s">
        <v>236</v>
      </c>
      <c r="D24" s="9" t="s">
        <v>182</v>
      </c>
      <c r="E24" s="9" t="s">
        <v>272</v>
      </c>
      <c r="F24" s="10" t="s">
        <v>48</v>
      </c>
      <c r="G24" s="9" t="s">
        <v>55</v>
      </c>
      <c r="H24" s="9" t="s">
        <v>343</v>
      </c>
      <c r="I24" s="26" t="s">
        <v>334</v>
      </c>
      <c r="J24" s="20" t="s">
        <v>310</v>
      </c>
    </row>
    <row r="25" spans="2:10" ht="43.2" x14ac:dyDescent="0.3">
      <c r="B25" s="9" t="s">
        <v>180</v>
      </c>
      <c r="C25" s="9" t="s">
        <v>237</v>
      </c>
      <c r="D25" s="9" t="s">
        <v>182</v>
      </c>
      <c r="E25" s="9" t="s">
        <v>273</v>
      </c>
      <c r="F25" s="10" t="s">
        <v>48</v>
      </c>
      <c r="G25" s="9" t="s">
        <v>55</v>
      </c>
      <c r="H25" s="9" t="s">
        <v>344</v>
      </c>
      <c r="I25" s="26" t="s">
        <v>335</v>
      </c>
      <c r="J25" s="20" t="s">
        <v>310</v>
      </c>
    </row>
    <row r="26" spans="2:10" ht="43.2" x14ac:dyDescent="0.3">
      <c r="B26" s="9" t="s">
        <v>180</v>
      </c>
      <c r="C26" s="9" t="s">
        <v>238</v>
      </c>
      <c r="D26" s="9" t="s">
        <v>182</v>
      </c>
      <c r="E26" s="9" t="s">
        <v>274</v>
      </c>
      <c r="F26" s="10" t="s">
        <v>48</v>
      </c>
      <c r="G26" s="9" t="s">
        <v>55</v>
      </c>
      <c r="H26" s="9" t="s">
        <v>344</v>
      </c>
      <c r="I26" s="26" t="s">
        <v>335</v>
      </c>
      <c r="J26" s="20" t="s">
        <v>310</v>
      </c>
    </row>
    <row r="27" spans="2:10" x14ac:dyDescent="0.3">
      <c r="B27" s="9" t="s">
        <v>180</v>
      </c>
      <c r="C27" s="9" t="s">
        <v>244</v>
      </c>
      <c r="D27" s="9" t="s">
        <v>182</v>
      </c>
      <c r="E27" s="9" t="s">
        <v>275</v>
      </c>
      <c r="F27" s="10" t="s">
        <v>48</v>
      </c>
      <c r="G27" s="9" t="s">
        <v>55</v>
      </c>
      <c r="H27" s="9" t="s">
        <v>345</v>
      </c>
      <c r="I27" s="22"/>
      <c r="J27" s="20" t="s">
        <v>312</v>
      </c>
    </row>
    <row r="28" spans="2:10" x14ac:dyDescent="0.3">
      <c r="B28" s="11" t="s">
        <v>300</v>
      </c>
      <c r="C28" s="11" t="s">
        <v>307</v>
      </c>
      <c r="D28" s="11" t="s">
        <v>203</v>
      </c>
      <c r="E28" s="11" t="s">
        <v>377</v>
      </c>
      <c r="F28" s="12"/>
      <c r="G28" s="11"/>
      <c r="H28" s="11"/>
    </row>
    <row r="29" spans="2:10" x14ac:dyDescent="0.3">
      <c r="B29" s="11" t="s">
        <v>279</v>
      </c>
      <c r="C29" s="11" t="s">
        <v>302</v>
      </c>
      <c r="D29" s="11" t="s">
        <v>203</v>
      </c>
      <c r="E29" s="11" t="s">
        <v>136</v>
      </c>
      <c r="F29" s="11" t="s">
        <v>118</v>
      </c>
      <c r="G29" s="11" t="s">
        <v>137</v>
      </c>
      <c r="H29" s="11">
        <v>43</v>
      </c>
    </row>
    <row r="30" spans="2:10" x14ac:dyDescent="0.3">
      <c r="B30" s="11" t="s">
        <v>301</v>
      </c>
      <c r="C30" s="11" t="s">
        <v>306</v>
      </c>
      <c r="D30" s="11" t="s">
        <v>203</v>
      </c>
      <c r="E30" s="11" t="s">
        <v>86</v>
      </c>
      <c r="F30" s="12" t="s">
        <v>80</v>
      </c>
      <c r="G30" s="11" t="s">
        <v>87</v>
      </c>
      <c r="H30" s="11">
        <v>44</v>
      </c>
    </row>
    <row r="31" spans="2:10" x14ac:dyDescent="0.3">
      <c r="B31" s="11" t="s">
        <v>281</v>
      </c>
      <c r="C31" s="11" t="s">
        <v>303</v>
      </c>
      <c r="D31" s="11" t="s">
        <v>203</v>
      </c>
      <c r="E31" s="11" t="s">
        <v>132</v>
      </c>
      <c r="F31" s="11" t="s">
        <v>118</v>
      </c>
      <c r="G31" s="11" t="s">
        <v>133</v>
      </c>
      <c r="H31" s="11">
        <v>42</v>
      </c>
    </row>
    <row r="32" spans="2:10" x14ac:dyDescent="0.3">
      <c r="B32" s="11" t="s">
        <v>281</v>
      </c>
      <c r="C32" s="11" t="s">
        <v>304</v>
      </c>
      <c r="D32" s="11" t="s">
        <v>203</v>
      </c>
      <c r="E32" s="11" t="s">
        <v>305</v>
      </c>
      <c r="F32" s="11" t="s">
        <v>118</v>
      </c>
      <c r="G32" s="11" t="s">
        <v>133</v>
      </c>
      <c r="H32" s="11">
        <v>42</v>
      </c>
    </row>
  </sheetData>
  <mergeCells count="2">
    <mergeCell ref="B2:C2"/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Requerimientos</vt:lpstr>
      <vt:lpstr>Redes</vt:lpstr>
      <vt:lpstr>Edificio Central</vt:lpstr>
      <vt:lpstr>dhcp</vt:lpstr>
      <vt:lpstr>ET</vt:lpstr>
      <vt:lpstr>Admin_empresas</vt:lpstr>
      <vt:lpstr>ing_industrial</vt:lpstr>
      <vt:lpstr>Ing_Biomedica</vt:lpstr>
      <vt:lpstr>Biblioteca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Brayan Saldaña Aguado</dc:creator>
  <cp:lastModifiedBy>Jose Brayan Saldaña Aguado</cp:lastModifiedBy>
  <dcterms:created xsi:type="dcterms:W3CDTF">2026-08-25T19:19:42Z</dcterms:created>
  <dcterms:modified xsi:type="dcterms:W3CDTF">2026-10-13T20:25:57Z</dcterms:modified>
</cp:coreProperties>
</file>